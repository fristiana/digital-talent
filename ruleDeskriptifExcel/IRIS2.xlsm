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fristiana-folder\ijin kursus\"/>
    </mc:Choice>
  </mc:AlternateContent>
  <bookViews>
    <workbookView xWindow="0" yWindow="0" windowWidth="17145" windowHeight="6015" activeTab="1"/>
  </bookViews>
  <sheets>
    <sheet name="pivot_petal" sheetId="4" r:id="rId1"/>
    <sheet name="abu_abu_cluster" sheetId="13" r:id="rId2"/>
    <sheet name="pivot_sepal" sheetId="6" r:id="rId3"/>
    <sheet name="IRIS2" sheetId="1" r:id="rId4"/>
    <sheet name="setosa_petal" sheetId="9" r:id="rId5"/>
    <sheet name="versicolor_petal" sheetId="11" r:id="rId6"/>
    <sheet name="virginica_petal" sheetId="12" r:id="rId7"/>
    <sheet name="plot_petal" sheetId="2" r:id="rId8"/>
    <sheet name="plot_sepal" sheetId="7" r:id="rId9"/>
    <sheet name="plot_length" sheetId="14" r:id="rId10"/>
    <sheet name="plot_width" sheetId="16" r:id="rId11"/>
    <sheet name="cross_plot1" sheetId="18" r:id="rId12"/>
    <sheet name="cross_plot2" sheetId="20" r:id="rId13"/>
  </sheets>
  <definedNames>
    <definedName name="_xlnm._FilterDatabase" localSheetId="1" hidden="1">abu_abu_cluster!$A$1:$F$146</definedName>
    <definedName name="_xlnm._FilterDatabase" localSheetId="3" hidden="1">IRIS2!$A$1:$F$151</definedName>
  </definedNames>
  <calcPr calcId="0"/>
  <pivotCaches>
    <pivotCache cacheId="3" r:id="rId14"/>
  </pivotCaches>
</workbook>
</file>

<file path=xl/calcChain.xml><?xml version="1.0" encoding="utf-8"?>
<calcChain xmlns="http://schemas.openxmlformats.org/spreadsheetml/2006/main">
  <c r="H3" i="13" l="1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2" i="13"/>
  <c r="M11" i="9"/>
  <c r="L11" i="9"/>
  <c r="M6" i="9"/>
  <c r="M13" i="9" s="1"/>
  <c r="M5" i="9"/>
  <c r="M10" i="9" s="1"/>
  <c r="M4" i="9"/>
  <c r="M3" i="9"/>
  <c r="M14" i="9" s="1"/>
  <c r="M2" i="9"/>
  <c r="L6" i="9"/>
  <c r="L13" i="9" s="1"/>
  <c r="L5" i="9"/>
  <c r="L4" i="9"/>
  <c r="L9" i="9" s="1"/>
  <c r="L3" i="9"/>
  <c r="L2" i="9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2" i="20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2" i="18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2" i="18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2" i="16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2" i="14"/>
  <c r="I23" i="12"/>
  <c r="I22" i="12"/>
  <c r="F23" i="12"/>
  <c r="F22" i="12"/>
  <c r="I23" i="9"/>
  <c r="I22" i="9"/>
  <c r="F23" i="9"/>
  <c r="F22" i="9"/>
  <c r="I23" i="11"/>
  <c r="I22" i="11"/>
  <c r="F23" i="11"/>
  <c r="F22" i="11"/>
  <c r="L14" i="9" l="1"/>
  <c r="L8" i="9"/>
  <c r="L10" i="9"/>
  <c r="M9" i="9"/>
  <c r="M8" i="9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2" i="7"/>
  <c r="D15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3" i="2"/>
  <c r="E4" i="2"/>
  <c r="E5" i="2"/>
  <c r="E6" i="2"/>
  <c r="E7" i="2"/>
  <c r="E2" i="2"/>
</calcChain>
</file>

<file path=xl/sharedStrings.xml><?xml version="1.0" encoding="utf-8"?>
<sst xmlns="http://schemas.openxmlformats.org/spreadsheetml/2006/main" count="1549" uniqueCount="56">
  <si>
    <t>id</t>
  </si>
  <si>
    <t>sepal_length</t>
  </si>
  <si>
    <t>sepal_width</t>
  </si>
  <si>
    <t>petal_length</t>
  </si>
  <si>
    <t>petal_width</t>
  </si>
  <si>
    <t>class</t>
  </si>
  <si>
    <t>Iris-setosa</t>
  </si>
  <si>
    <t>Iris-versicolor</t>
  </si>
  <si>
    <t>Iris-virginica</t>
  </si>
  <si>
    <t>Symbol Code</t>
  </si>
  <si>
    <t>Color Code</t>
  </si>
  <si>
    <t>Row Labels</t>
  </si>
  <si>
    <t>Grand Total</t>
  </si>
  <si>
    <t>Min of petal_length</t>
  </si>
  <si>
    <t>Max of petal_length</t>
  </si>
  <si>
    <t>Min of petal_width</t>
  </si>
  <si>
    <t>Max of petal_width</t>
  </si>
  <si>
    <t>Min of sepal_length</t>
  </si>
  <si>
    <t>Max of sepal_length</t>
  </si>
  <si>
    <t>Min of sepal_width</t>
  </si>
  <si>
    <t>Max of sepal_width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</si>
  <si>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</si>
  <si>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</si>
  <si>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</si>
  <si>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</si>
  <si>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</si>
  <si>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</si>
  <si>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</si>
  <si>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</si>
  <si>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</si>
  <si>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</si>
  <si>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</si>
  <si>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</si>
  <si>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</si>
  <si>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Largest(1)</t>
  </si>
  <si>
    <t>Smallest(1)</t>
  </si>
  <si>
    <t>Confidence Level(95.0%)</t>
  </si>
  <si>
    <t>Descriptive statistics Petal Length</t>
  </si>
  <si>
    <t>Descriptive statistics Petal Width</t>
  </si>
  <si>
    <t>sebaran terbesar petal length</t>
  </si>
  <si>
    <t>max</t>
  </si>
  <si>
    <t>min</t>
  </si>
  <si>
    <t>sebaran terbesar petal width</t>
  </si>
  <si>
    <t>Descriptive Statistics Petal Length</t>
  </si>
  <si>
    <t>Descriptive Statistics Petal Width</t>
  </si>
  <si>
    <t>petal length</t>
  </si>
  <si>
    <t>q1</t>
  </si>
  <si>
    <t>petal width</t>
  </si>
  <si>
    <t>Box 1 - hidden</t>
  </si>
  <si>
    <t>Box 2 - lower</t>
  </si>
  <si>
    <t>Box 3 - upper</t>
  </si>
  <si>
    <t>median</t>
  </si>
  <si>
    <t>q3</t>
  </si>
  <si>
    <t>Whisker Top</t>
  </si>
  <si>
    <t>Whisker Bottom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</si>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</sst>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Continuous"/>
    </xf>
    <xf numFmtId="0" fontId="18" fillId="0" borderId="0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Petal-Length vs Petal-Width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xVal>
            <c:numRef>
              <c:f>abu_abu_cluster!$D$2:$D$146</c:f>
              <c:numCache>
                <c:formatCode>General</c:formatCode>
                <c:ptCount val="145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6.3</c:v>
                </c:pt>
                <c:pt idx="107">
                  <c:v>5.8</c:v>
                </c:pt>
                <c:pt idx="108">
                  <c:v>6.1</c:v>
                </c:pt>
                <c:pt idx="109">
                  <c:v>5.0999999999999996</c:v>
                </c:pt>
                <c:pt idx="110">
                  <c:v>5.3</c:v>
                </c:pt>
                <c:pt idx="111">
                  <c:v>5.5</c:v>
                </c:pt>
                <c:pt idx="112">
                  <c:v>5</c:v>
                </c:pt>
                <c:pt idx="113">
                  <c:v>5.0999999999999996</c:v>
                </c:pt>
                <c:pt idx="114">
                  <c:v>5.3</c:v>
                </c:pt>
                <c:pt idx="115">
                  <c:v>5.5</c:v>
                </c:pt>
                <c:pt idx="116">
                  <c:v>6.7</c:v>
                </c:pt>
                <c:pt idx="117">
                  <c:v>6.9</c:v>
                </c:pt>
                <c:pt idx="118">
                  <c:v>5.7</c:v>
                </c:pt>
                <c:pt idx="119">
                  <c:v>4.9000000000000004</c:v>
                </c:pt>
                <c:pt idx="120">
                  <c:v>6.7</c:v>
                </c:pt>
                <c:pt idx="121">
                  <c:v>4.9000000000000004</c:v>
                </c:pt>
                <c:pt idx="122">
                  <c:v>5.7</c:v>
                </c:pt>
                <c:pt idx="123">
                  <c:v>6</c:v>
                </c:pt>
                <c:pt idx="124">
                  <c:v>4.8</c:v>
                </c:pt>
                <c:pt idx="125">
                  <c:v>4.9000000000000004</c:v>
                </c:pt>
                <c:pt idx="126">
                  <c:v>5.6</c:v>
                </c:pt>
                <c:pt idx="127">
                  <c:v>6.1</c:v>
                </c:pt>
                <c:pt idx="128">
                  <c:v>6.4</c:v>
                </c:pt>
                <c:pt idx="129">
                  <c:v>5.6</c:v>
                </c:pt>
                <c:pt idx="130">
                  <c:v>6.1</c:v>
                </c:pt>
                <c:pt idx="131">
                  <c:v>5.6</c:v>
                </c:pt>
                <c:pt idx="132">
                  <c:v>5.5</c:v>
                </c:pt>
                <c:pt idx="133">
                  <c:v>4.8</c:v>
                </c:pt>
                <c:pt idx="134">
                  <c:v>5.4</c:v>
                </c:pt>
                <c:pt idx="135">
                  <c:v>5.6</c:v>
                </c:pt>
                <c:pt idx="136">
                  <c:v>5.0999999999999996</c:v>
                </c:pt>
                <c:pt idx="137">
                  <c:v>5.0999999999999996</c:v>
                </c:pt>
                <c:pt idx="138">
                  <c:v>5.9</c:v>
                </c:pt>
                <c:pt idx="139">
                  <c:v>5.7</c:v>
                </c:pt>
                <c:pt idx="140">
                  <c:v>5.2</c:v>
                </c:pt>
                <c:pt idx="141">
                  <c:v>5</c:v>
                </c:pt>
                <c:pt idx="142">
                  <c:v>5.2</c:v>
                </c:pt>
                <c:pt idx="143">
                  <c:v>5.4</c:v>
                </c:pt>
                <c:pt idx="144">
                  <c:v>5.0999999999999996</c:v>
                </c:pt>
              </c:numCache>
            </c:numRef>
          </c:xVal>
          <c:yVal>
            <c:numRef>
              <c:f>abu_abu_cluster!$E$2:$E$146</c:f>
              <c:numCache>
                <c:formatCode>General</c:formatCode>
                <c:ptCount val="14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1.8</c:v>
                </c:pt>
                <c:pt idx="107">
                  <c:v>1.8</c:v>
                </c:pt>
                <c:pt idx="108">
                  <c:v>2.5</c:v>
                </c:pt>
                <c:pt idx="109">
                  <c:v>2</c:v>
                </c:pt>
                <c:pt idx="110">
                  <c:v>1.9</c:v>
                </c:pt>
                <c:pt idx="111">
                  <c:v>2.1</c:v>
                </c:pt>
                <c:pt idx="112">
                  <c:v>2</c:v>
                </c:pt>
                <c:pt idx="113">
                  <c:v>2.4</c:v>
                </c:pt>
                <c:pt idx="114">
                  <c:v>2.2999999999999998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2.2999999999999998</c:v>
                </c:pt>
                <c:pt idx="118">
                  <c:v>2.2999999999999998</c:v>
                </c:pt>
                <c:pt idx="119">
                  <c:v>2</c:v>
                </c:pt>
                <c:pt idx="120">
                  <c:v>2</c:v>
                </c:pt>
                <c:pt idx="121">
                  <c:v>1.8</c:v>
                </c:pt>
                <c:pt idx="122">
                  <c:v>2.1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2.1</c:v>
                </c:pt>
                <c:pt idx="127">
                  <c:v>1.9</c:v>
                </c:pt>
                <c:pt idx="128">
                  <c:v>2</c:v>
                </c:pt>
                <c:pt idx="129">
                  <c:v>2.2000000000000002</c:v>
                </c:pt>
                <c:pt idx="130">
                  <c:v>2.2999999999999998</c:v>
                </c:pt>
                <c:pt idx="131">
                  <c:v>2.4</c:v>
                </c:pt>
                <c:pt idx="132">
                  <c:v>1.8</c:v>
                </c:pt>
                <c:pt idx="133">
                  <c:v>1.8</c:v>
                </c:pt>
                <c:pt idx="134">
                  <c:v>2.1</c:v>
                </c:pt>
                <c:pt idx="135">
                  <c:v>2.4</c:v>
                </c:pt>
                <c:pt idx="136">
                  <c:v>2.2999999999999998</c:v>
                </c:pt>
                <c:pt idx="137">
                  <c:v>1.9</c:v>
                </c:pt>
                <c:pt idx="138">
                  <c:v>2.2999999999999998</c:v>
                </c:pt>
                <c:pt idx="139">
                  <c:v>2.5</c:v>
                </c:pt>
                <c:pt idx="140">
                  <c:v>2.2999999999999998</c:v>
                </c:pt>
                <c:pt idx="141">
                  <c:v>1.9</c:v>
                </c:pt>
                <c:pt idx="142">
                  <c:v>2</c:v>
                </c:pt>
                <c:pt idx="143">
                  <c:v>2.2999999999999998</c:v>
                </c:pt>
                <c:pt idx="144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4965184"/>
        <c:axId val="-64964096"/>
      </c:scatterChart>
      <c:valAx>
        <c:axId val="-6496518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964096"/>
        <c:crosses val="autoZero"/>
        <c:crossBetween val="midCat"/>
      </c:valAx>
      <c:valAx>
        <c:axId val="-649640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965184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setosa_petal!$L$1</c:f>
              <c:strCache>
                <c:ptCount val="1"/>
                <c:pt idx="0">
                  <c:v>petal length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setosa_petal!$M$1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setosa_petal!$K$8</c:f>
              <c:strCache>
                <c:ptCount val="1"/>
                <c:pt idx="0">
                  <c:v>Box 1 - hidden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setosa_petal!$L$14:$M$14</c:f>
                <c:numCache>
                  <c:formatCode>General</c:formatCode>
                  <c:ptCount val="2"/>
                  <c:pt idx="0">
                    <c:v>0.39999999999999991</c:v>
                  </c:pt>
                  <c:pt idx="1">
                    <c:v>0.1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setosa_petal!$L$8:$M$8</c:f>
              <c:numCache>
                <c:formatCode>General</c:formatCode>
                <c:ptCount val="2"/>
                <c:pt idx="0">
                  <c:v>1.4</c:v>
                </c:pt>
                <c:pt idx="1">
                  <c:v>0.2</c:v>
                </c:pt>
              </c:numCache>
            </c:numRef>
          </c:val>
        </c:ser>
        <c:ser>
          <c:idx val="2"/>
          <c:order val="2"/>
          <c:tx>
            <c:strRef>
              <c:f>setosa_petal!$K$9</c:f>
              <c:strCache>
                <c:ptCount val="1"/>
                <c:pt idx="0">
                  <c:v>Box 2 - lower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setosa_petal!$L$9:$M$9</c:f>
              <c:numCache>
                <c:formatCode>General</c:formatCode>
                <c:ptCount val="2"/>
                <c:pt idx="0">
                  <c:v>0.10000000000000009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setosa_petal!$K$10</c:f>
              <c:strCache>
                <c:ptCount val="1"/>
                <c:pt idx="0">
                  <c:v>Box 3 - upper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setosa_petal!$L$13:$M$13</c:f>
                <c:numCache>
                  <c:formatCode>General</c:formatCode>
                  <c:ptCount val="2"/>
                  <c:pt idx="0">
                    <c:v>0.32499999999999973</c:v>
                  </c:pt>
                  <c:pt idx="1">
                    <c:v>0.3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setosa_petal!$L$10:$M$10</c:f>
              <c:numCache>
                <c:formatCode>General</c:formatCode>
                <c:ptCount val="2"/>
                <c:pt idx="0">
                  <c:v>7.5000000000000178E-2</c:v>
                </c:pt>
                <c:pt idx="1">
                  <c:v>9.9999999999999978E-2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33735952"/>
        <c:axId val="-1833735408"/>
      </c:barChart>
      <c:catAx>
        <c:axId val="-1833735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3735408"/>
        <c:crosses val="autoZero"/>
        <c:auto val="1"/>
        <c:lblAlgn val="ctr"/>
        <c:lblOffset val="100"/>
        <c:noMultiLvlLbl val="0"/>
      </c:catAx>
      <c:valAx>
        <c:axId val="-183373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373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Petal Length</a:t>
            </a:r>
            <a:r>
              <a:rPr lang="en-US" baseline="0"/>
              <a:t> vs Petal Width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plot_petal!$A$2:$A$151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xVal>
          <c:yVal>
            <c:numRef>
              <c:f>plot_petal!$B$2:$B$151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84374960"/>
        <c:axId val="-484372784"/>
      </c:scatterChart>
      <c:valAx>
        <c:axId val="-48437496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484372784"/>
        <c:crosses val="autoZero"/>
        <c:crossBetween val="midCat"/>
      </c:valAx>
      <c:valAx>
        <c:axId val="-4843727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484374960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Petal Length</a:t>
            </a:r>
            <a:r>
              <a:rPr lang="en-US" baseline="0"/>
              <a:t> vs Petal Width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xVal>
            <c:numRef>
              <c:f>plot_petal!$A$2:$A$151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xVal>
          <c:yVal>
            <c:numRef>
              <c:f>plot_petal!$B$2:$B$151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2515200"/>
        <c:axId val="-1892510304"/>
      </c:scatterChart>
      <c:valAx>
        <c:axId val="-189251520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892510304"/>
        <c:crosses val="autoZero"/>
        <c:crossBetween val="midCat"/>
      </c:valAx>
      <c:valAx>
        <c:axId val="-189251030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892515200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</a:t>
            </a:r>
            <a:r>
              <a:rPr lang="en-US" baseline="0"/>
              <a:t> Sepal Length vs Sepal Width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plot_sepal!$A$2:$A$151</c:f>
              <c:numCache>
                <c:formatCode>General</c:formatCode>
                <c:ptCount val="150"/>
                <c:pt idx="0">
                  <c:v>5.0999999999999996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5</c:v>
                </c:pt>
                <c:pt idx="5">
                  <c:v>5.4</c:v>
                </c:pt>
                <c:pt idx="6">
                  <c:v>4.5999999999999996</c:v>
                </c:pt>
                <c:pt idx="7">
                  <c:v>5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5.4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4.7</c:v>
                </c:pt>
                <c:pt idx="30">
                  <c:v>4.8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4.9000000000000004</c:v>
                </c:pt>
                <c:pt idx="35">
                  <c:v>5</c:v>
                </c:pt>
                <c:pt idx="36">
                  <c:v>5.5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5.0999999999999996</c:v>
                </c:pt>
                <c:pt idx="40">
                  <c:v>5</c:v>
                </c:pt>
                <c:pt idx="41">
                  <c:v>4.5</c:v>
                </c:pt>
                <c:pt idx="42">
                  <c:v>4.4000000000000004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4.8</c:v>
                </c:pt>
                <c:pt idx="46">
                  <c:v>5.0999999999999996</c:v>
                </c:pt>
                <c:pt idx="47">
                  <c:v>4.5999999999999996</c:v>
                </c:pt>
                <c:pt idx="48">
                  <c:v>5.3</c:v>
                </c:pt>
                <c:pt idx="49">
                  <c:v>5</c:v>
                </c:pt>
                <c:pt idx="50">
                  <c:v>7</c:v>
                </c:pt>
                <c:pt idx="51">
                  <c:v>6.4</c:v>
                </c:pt>
                <c:pt idx="52">
                  <c:v>6.9</c:v>
                </c:pt>
                <c:pt idx="53">
                  <c:v>5.5</c:v>
                </c:pt>
                <c:pt idx="54">
                  <c:v>6.5</c:v>
                </c:pt>
                <c:pt idx="55">
                  <c:v>5.7</c:v>
                </c:pt>
                <c:pt idx="56">
                  <c:v>6.3</c:v>
                </c:pt>
                <c:pt idx="57">
                  <c:v>4.9000000000000004</c:v>
                </c:pt>
                <c:pt idx="58">
                  <c:v>6.6</c:v>
                </c:pt>
                <c:pt idx="59">
                  <c:v>5.2</c:v>
                </c:pt>
                <c:pt idx="60">
                  <c:v>5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5.6</c:v>
                </c:pt>
                <c:pt idx="65">
                  <c:v>6.7</c:v>
                </c:pt>
                <c:pt idx="66">
                  <c:v>5.6</c:v>
                </c:pt>
                <c:pt idx="67">
                  <c:v>5.8</c:v>
                </c:pt>
                <c:pt idx="68">
                  <c:v>6.2</c:v>
                </c:pt>
                <c:pt idx="69">
                  <c:v>5.6</c:v>
                </c:pt>
                <c:pt idx="70">
                  <c:v>5.9</c:v>
                </c:pt>
                <c:pt idx="71">
                  <c:v>6.1</c:v>
                </c:pt>
                <c:pt idx="72">
                  <c:v>6.3</c:v>
                </c:pt>
                <c:pt idx="73">
                  <c:v>6.1</c:v>
                </c:pt>
                <c:pt idx="74">
                  <c:v>6.4</c:v>
                </c:pt>
                <c:pt idx="75">
                  <c:v>6.6</c:v>
                </c:pt>
                <c:pt idx="76">
                  <c:v>6.8</c:v>
                </c:pt>
                <c:pt idx="77">
                  <c:v>6.7</c:v>
                </c:pt>
                <c:pt idx="78">
                  <c:v>6</c:v>
                </c:pt>
                <c:pt idx="79">
                  <c:v>5.7</c:v>
                </c:pt>
                <c:pt idx="80">
                  <c:v>5.5</c:v>
                </c:pt>
                <c:pt idx="81">
                  <c:v>5.5</c:v>
                </c:pt>
                <c:pt idx="82">
                  <c:v>5.8</c:v>
                </c:pt>
                <c:pt idx="83">
                  <c:v>6</c:v>
                </c:pt>
                <c:pt idx="84">
                  <c:v>5.4</c:v>
                </c:pt>
                <c:pt idx="85">
                  <c:v>6</c:v>
                </c:pt>
                <c:pt idx="86">
                  <c:v>6.7</c:v>
                </c:pt>
                <c:pt idx="87">
                  <c:v>6.3</c:v>
                </c:pt>
                <c:pt idx="88">
                  <c:v>5.6</c:v>
                </c:pt>
                <c:pt idx="89">
                  <c:v>5.5</c:v>
                </c:pt>
                <c:pt idx="90">
                  <c:v>5.5</c:v>
                </c:pt>
                <c:pt idx="91">
                  <c:v>6.1</c:v>
                </c:pt>
                <c:pt idx="92">
                  <c:v>5.8</c:v>
                </c:pt>
                <c:pt idx="93">
                  <c:v>5</c:v>
                </c:pt>
                <c:pt idx="94">
                  <c:v>5.6</c:v>
                </c:pt>
                <c:pt idx="95">
                  <c:v>5.7</c:v>
                </c:pt>
                <c:pt idx="96">
                  <c:v>5.7</c:v>
                </c:pt>
                <c:pt idx="97">
                  <c:v>6.2</c:v>
                </c:pt>
                <c:pt idx="98">
                  <c:v>5.0999999999999996</c:v>
                </c:pt>
                <c:pt idx="99">
                  <c:v>5.7</c:v>
                </c:pt>
                <c:pt idx="100">
                  <c:v>6.3</c:v>
                </c:pt>
                <c:pt idx="101">
                  <c:v>5.8</c:v>
                </c:pt>
                <c:pt idx="102">
                  <c:v>7.1</c:v>
                </c:pt>
                <c:pt idx="103">
                  <c:v>6.3</c:v>
                </c:pt>
                <c:pt idx="104">
                  <c:v>6.5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7.3</c:v>
                </c:pt>
                <c:pt idx="108">
                  <c:v>6.7</c:v>
                </c:pt>
                <c:pt idx="109">
                  <c:v>7.2</c:v>
                </c:pt>
                <c:pt idx="110">
                  <c:v>6.5</c:v>
                </c:pt>
                <c:pt idx="111">
                  <c:v>6.4</c:v>
                </c:pt>
                <c:pt idx="112">
                  <c:v>6.8</c:v>
                </c:pt>
                <c:pt idx="113">
                  <c:v>5.7</c:v>
                </c:pt>
                <c:pt idx="114">
                  <c:v>5.8</c:v>
                </c:pt>
                <c:pt idx="115">
                  <c:v>6.4</c:v>
                </c:pt>
                <c:pt idx="116">
                  <c:v>6.5</c:v>
                </c:pt>
                <c:pt idx="117">
                  <c:v>7.7</c:v>
                </c:pt>
                <c:pt idx="118">
                  <c:v>7.7</c:v>
                </c:pt>
                <c:pt idx="119">
                  <c:v>6</c:v>
                </c:pt>
                <c:pt idx="120">
                  <c:v>6.9</c:v>
                </c:pt>
                <c:pt idx="121">
                  <c:v>5.6</c:v>
                </c:pt>
                <c:pt idx="122">
                  <c:v>7.7</c:v>
                </c:pt>
                <c:pt idx="123">
                  <c:v>6.3</c:v>
                </c:pt>
                <c:pt idx="124">
                  <c:v>6.7</c:v>
                </c:pt>
                <c:pt idx="125">
                  <c:v>7.2</c:v>
                </c:pt>
                <c:pt idx="126">
                  <c:v>6.2</c:v>
                </c:pt>
                <c:pt idx="127">
                  <c:v>6.1</c:v>
                </c:pt>
                <c:pt idx="128">
                  <c:v>6.4</c:v>
                </c:pt>
                <c:pt idx="129">
                  <c:v>7.2</c:v>
                </c:pt>
                <c:pt idx="130">
                  <c:v>7.4</c:v>
                </c:pt>
                <c:pt idx="131">
                  <c:v>7.9</c:v>
                </c:pt>
                <c:pt idx="132">
                  <c:v>6.4</c:v>
                </c:pt>
                <c:pt idx="133">
                  <c:v>6.3</c:v>
                </c:pt>
                <c:pt idx="134">
                  <c:v>6.1</c:v>
                </c:pt>
                <c:pt idx="135">
                  <c:v>7.7</c:v>
                </c:pt>
                <c:pt idx="136">
                  <c:v>6.3</c:v>
                </c:pt>
                <c:pt idx="137">
                  <c:v>6.4</c:v>
                </c:pt>
                <c:pt idx="138">
                  <c:v>6</c:v>
                </c:pt>
                <c:pt idx="139">
                  <c:v>6.9</c:v>
                </c:pt>
                <c:pt idx="140">
                  <c:v>6.7</c:v>
                </c:pt>
                <c:pt idx="141">
                  <c:v>6.9</c:v>
                </c:pt>
                <c:pt idx="142">
                  <c:v>5.8</c:v>
                </c:pt>
                <c:pt idx="143">
                  <c:v>6.8</c:v>
                </c:pt>
                <c:pt idx="144">
                  <c:v>6.7</c:v>
                </c:pt>
                <c:pt idx="145">
                  <c:v>6.7</c:v>
                </c:pt>
                <c:pt idx="146">
                  <c:v>6.3</c:v>
                </c:pt>
                <c:pt idx="147">
                  <c:v>6.5</c:v>
                </c:pt>
                <c:pt idx="148">
                  <c:v>6.2</c:v>
                </c:pt>
                <c:pt idx="149">
                  <c:v>5.9</c:v>
                </c:pt>
              </c:numCache>
            </c:numRef>
          </c:xVal>
          <c:yVal>
            <c:numRef>
              <c:f>plot_sepal!$B$2:$B$151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7244992"/>
        <c:axId val="-526639968"/>
      </c:scatterChart>
      <c:valAx>
        <c:axId val="-189724499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</a:t>
                </a:r>
                <a:r>
                  <a:rPr lang="en-US" baseline="0"/>
                  <a:t> Length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526639968"/>
        <c:crosses val="autoZero"/>
        <c:crossBetween val="midCat"/>
      </c:valAx>
      <c:valAx>
        <c:axId val="-52663996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897244992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Sepal Length Petal</a:t>
            </a:r>
            <a:r>
              <a:rPr lang="en-US" baseline="0"/>
              <a:t> Length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1793963254593182E-2"/>
          <c:y val="2.8252405949256341E-2"/>
          <c:w val="0.89745603674540686"/>
          <c:h val="0.832619568387284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plot_length!$A$2:$A$151</c:f>
              <c:numCache>
                <c:formatCode>General</c:formatCode>
                <c:ptCount val="150"/>
                <c:pt idx="0">
                  <c:v>5.0999999999999996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5</c:v>
                </c:pt>
                <c:pt idx="5">
                  <c:v>5.4</c:v>
                </c:pt>
                <c:pt idx="6">
                  <c:v>4.5999999999999996</c:v>
                </c:pt>
                <c:pt idx="7">
                  <c:v>5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5.4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4.7</c:v>
                </c:pt>
                <c:pt idx="30">
                  <c:v>4.8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4.9000000000000004</c:v>
                </c:pt>
                <c:pt idx="35">
                  <c:v>5</c:v>
                </c:pt>
                <c:pt idx="36">
                  <c:v>5.5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5.0999999999999996</c:v>
                </c:pt>
                <c:pt idx="40">
                  <c:v>5</c:v>
                </c:pt>
                <c:pt idx="41">
                  <c:v>4.5</c:v>
                </c:pt>
                <c:pt idx="42">
                  <c:v>4.4000000000000004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4.8</c:v>
                </c:pt>
                <c:pt idx="46">
                  <c:v>5.0999999999999996</c:v>
                </c:pt>
                <c:pt idx="47">
                  <c:v>4.5999999999999996</c:v>
                </c:pt>
                <c:pt idx="48">
                  <c:v>5.3</c:v>
                </c:pt>
                <c:pt idx="49">
                  <c:v>5</c:v>
                </c:pt>
                <c:pt idx="50">
                  <c:v>7</c:v>
                </c:pt>
                <c:pt idx="51">
                  <c:v>6.4</c:v>
                </c:pt>
                <c:pt idx="52">
                  <c:v>6.9</c:v>
                </c:pt>
                <c:pt idx="53">
                  <c:v>5.5</c:v>
                </c:pt>
                <c:pt idx="54">
                  <c:v>6.5</c:v>
                </c:pt>
                <c:pt idx="55">
                  <c:v>5.7</c:v>
                </c:pt>
                <c:pt idx="56">
                  <c:v>6.3</c:v>
                </c:pt>
                <c:pt idx="57">
                  <c:v>4.9000000000000004</c:v>
                </c:pt>
                <c:pt idx="58">
                  <c:v>6.6</c:v>
                </c:pt>
                <c:pt idx="59">
                  <c:v>5.2</c:v>
                </c:pt>
                <c:pt idx="60">
                  <c:v>5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5.6</c:v>
                </c:pt>
                <c:pt idx="65">
                  <c:v>6.7</c:v>
                </c:pt>
                <c:pt idx="66">
                  <c:v>5.6</c:v>
                </c:pt>
                <c:pt idx="67">
                  <c:v>5.8</c:v>
                </c:pt>
                <c:pt idx="68">
                  <c:v>6.2</c:v>
                </c:pt>
                <c:pt idx="69">
                  <c:v>5.6</c:v>
                </c:pt>
                <c:pt idx="70">
                  <c:v>5.9</c:v>
                </c:pt>
                <c:pt idx="71">
                  <c:v>6.1</c:v>
                </c:pt>
                <c:pt idx="72">
                  <c:v>6.3</c:v>
                </c:pt>
                <c:pt idx="73">
                  <c:v>6.1</c:v>
                </c:pt>
                <c:pt idx="74">
                  <c:v>6.4</c:v>
                </c:pt>
                <c:pt idx="75">
                  <c:v>6.6</c:v>
                </c:pt>
                <c:pt idx="76">
                  <c:v>6.8</c:v>
                </c:pt>
                <c:pt idx="77">
                  <c:v>6.7</c:v>
                </c:pt>
                <c:pt idx="78">
                  <c:v>6</c:v>
                </c:pt>
                <c:pt idx="79">
                  <c:v>5.7</c:v>
                </c:pt>
                <c:pt idx="80">
                  <c:v>5.5</c:v>
                </c:pt>
                <c:pt idx="81">
                  <c:v>5.5</c:v>
                </c:pt>
                <c:pt idx="82">
                  <c:v>5.8</c:v>
                </c:pt>
                <c:pt idx="83">
                  <c:v>6</c:v>
                </c:pt>
                <c:pt idx="84">
                  <c:v>5.4</c:v>
                </c:pt>
                <c:pt idx="85">
                  <c:v>6</c:v>
                </c:pt>
                <c:pt idx="86">
                  <c:v>6.7</c:v>
                </c:pt>
                <c:pt idx="87">
                  <c:v>6.3</c:v>
                </c:pt>
                <c:pt idx="88">
                  <c:v>5.6</c:v>
                </c:pt>
                <c:pt idx="89">
                  <c:v>5.5</c:v>
                </c:pt>
                <c:pt idx="90">
                  <c:v>5.5</c:v>
                </c:pt>
                <c:pt idx="91">
                  <c:v>6.1</c:v>
                </c:pt>
                <c:pt idx="92">
                  <c:v>5.8</c:v>
                </c:pt>
                <c:pt idx="93">
                  <c:v>5</c:v>
                </c:pt>
                <c:pt idx="94">
                  <c:v>5.6</c:v>
                </c:pt>
                <c:pt idx="95">
                  <c:v>5.7</c:v>
                </c:pt>
                <c:pt idx="96">
                  <c:v>5.7</c:v>
                </c:pt>
                <c:pt idx="97">
                  <c:v>6.2</c:v>
                </c:pt>
                <c:pt idx="98">
                  <c:v>5.0999999999999996</c:v>
                </c:pt>
                <c:pt idx="99">
                  <c:v>5.7</c:v>
                </c:pt>
                <c:pt idx="100">
                  <c:v>6.3</c:v>
                </c:pt>
                <c:pt idx="101">
                  <c:v>5.8</c:v>
                </c:pt>
                <c:pt idx="102">
                  <c:v>7.1</c:v>
                </c:pt>
                <c:pt idx="103">
                  <c:v>6.3</c:v>
                </c:pt>
                <c:pt idx="104">
                  <c:v>6.5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7.3</c:v>
                </c:pt>
                <c:pt idx="108">
                  <c:v>6.7</c:v>
                </c:pt>
                <c:pt idx="109">
                  <c:v>7.2</c:v>
                </c:pt>
                <c:pt idx="110">
                  <c:v>6.5</c:v>
                </c:pt>
                <c:pt idx="111">
                  <c:v>6.4</c:v>
                </c:pt>
                <c:pt idx="112">
                  <c:v>6.8</c:v>
                </c:pt>
                <c:pt idx="113">
                  <c:v>5.7</c:v>
                </c:pt>
                <c:pt idx="114">
                  <c:v>5.8</c:v>
                </c:pt>
                <c:pt idx="115">
                  <c:v>6.4</c:v>
                </c:pt>
                <c:pt idx="116">
                  <c:v>6.5</c:v>
                </c:pt>
                <c:pt idx="117">
                  <c:v>7.7</c:v>
                </c:pt>
                <c:pt idx="118">
                  <c:v>7.7</c:v>
                </c:pt>
                <c:pt idx="119">
                  <c:v>6</c:v>
                </c:pt>
                <c:pt idx="120">
                  <c:v>6.9</c:v>
                </c:pt>
                <c:pt idx="121">
                  <c:v>5.6</c:v>
                </c:pt>
                <c:pt idx="122">
                  <c:v>7.7</c:v>
                </c:pt>
                <c:pt idx="123">
                  <c:v>6.3</c:v>
                </c:pt>
                <c:pt idx="124">
                  <c:v>6.7</c:v>
                </c:pt>
                <c:pt idx="125">
                  <c:v>7.2</c:v>
                </c:pt>
                <c:pt idx="126">
                  <c:v>6.2</c:v>
                </c:pt>
                <c:pt idx="127">
                  <c:v>6.1</c:v>
                </c:pt>
                <c:pt idx="128">
                  <c:v>6.4</c:v>
                </c:pt>
                <c:pt idx="129">
                  <c:v>7.2</c:v>
                </c:pt>
                <c:pt idx="130">
                  <c:v>7.4</c:v>
                </c:pt>
                <c:pt idx="131">
                  <c:v>7.9</c:v>
                </c:pt>
                <c:pt idx="132">
                  <c:v>6.4</c:v>
                </c:pt>
                <c:pt idx="133">
                  <c:v>6.3</c:v>
                </c:pt>
                <c:pt idx="134">
                  <c:v>6.1</c:v>
                </c:pt>
                <c:pt idx="135">
                  <c:v>7.7</c:v>
                </c:pt>
                <c:pt idx="136">
                  <c:v>6.3</c:v>
                </c:pt>
                <c:pt idx="137">
                  <c:v>6.4</c:v>
                </c:pt>
                <c:pt idx="138">
                  <c:v>6</c:v>
                </c:pt>
                <c:pt idx="139">
                  <c:v>6.9</c:v>
                </c:pt>
                <c:pt idx="140">
                  <c:v>6.7</c:v>
                </c:pt>
                <c:pt idx="141">
                  <c:v>6.9</c:v>
                </c:pt>
                <c:pt idx="142">
                  <c:v>5.8</c:v>
                </c:pt>
                <c:pt idx="143">
                  <c:v>6.8</c:v>
                </c:pt>
                <c:pt idx="144">
                  <c:v>6.7</c:v>
                </c:pt>
                <c:pt idx="145">
                  <c:v>6.7</c:v>
                </c:pt>
                <c:pt idx="146">
                  <c:v>6.3</c:v>
                </c:pt>
                <c:pt idx="147">
                  <c:v>6.5</c:v>
                </c:pt>
                <c:pt idx="148">
                  <c:v>6.2</c:v>
                </c:pt>
                <c:pt idx="149">
                  <c:v>5.9</c:v>
                </c:pt>
              </c:numCache>
            </c:numRef>
          </c:xVal>
          <c:yVal>
            <c:numRef>
              <c:f>plot_length!$B$2:$B$151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4869696"/>
        <c:axId val="-64862080"/>
      </c:scatterChart>
      <c:valAx>
        <c:axId val="-6486969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862080"/>
        <c:crosses val="autoZero"/>
        <c:crossBetween val="midCat"/>
      </c:valAx>
      <c:valAx>
        <c:axId val="-6486208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869696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Sepal Length Petal</a:t>
            </a:r>
            <a:r>
              <a:rPr lang="en-US" baseline="0"/>
              <a:t> Length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1793963254593182E-2"/>
          <c:y val="2.8252405949256341E-2"/>
          <c:w val="0.89745603674540686"/>
          <c:h val="0.832619568387284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xVal>
            <c:numRef>
              <c:f>plot_length!$A$2:$A$151</c:f>
              <c:numCache>
                <c:formatCode>General</c:formatCode>
                <c:ptCount val="150"/>
                <c:pt idx="0">
                  <c:v>5.0999999999999996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5</c:v>
                </c:pt>
                <c:pt idx="5">
                  <c:v>5.4</c:v>
                </c:pt>
                <c:pt idx="6">
                  <c:v>4.5999999999999996</c:v>
                </c:pt>
                <c:pt idx="7">
                  <c:v>5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5.4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4.7</c:v>
                </c:pt>
                <c:pt idx="30">
                  <c:v>4.8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4.9000000000000004</c:v>
                </c:pt>
                <c:pt idx="35">
                  <c:v>5</c:v>
                </c:pt>
                <c:pt idx="36">
                  <c:v>5.5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5.0999999999999996</c:v>
                </c:pt>
                <c:pt idx="40">
                  <c:v>5</c:v>
                </c:pt>
                <c:pt idx="41">
                  <c:v>4.5</c:v>
                </c:pt>
                <c:pt idx="42">
                  <c:v>4.4000000000000004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4.8</c:v>
                </c:pt>
                <c:pt idx="46">
                  <c:v>5.0999999999999996</c:v>
                </c:pt>
                <c:pt idx="47">
                  <c:v>4.5999999999999996</c:v>
                </c:pt>
                <c:pt idx="48">
                  <c:v>5.3</c:v>
                </c:pt>
                <c:pt idx="49">
                  <c:v>5</c:v>
                </c:pt>
                <c:pt idx="50">
                  <c:v>7</c:v>
                </c:pt>
                <c:pt idx="51">
                  <c:v>6.4</c:v>
                </c:pt>
                <c:pt idx="52">
                  <c:v>6.9</c:v>
                </c:pt>
                <c:pt idx="53">
                  <c:v>5.5</c:v>
                </c:pt>
                <c:pt idx="54">
                  <c:v>6.5</c:v>
                </c:pt>
                <c:pt idx="55">
                  <c:v>5.7</c:v>
                </c:pt>
                <c:pt idx="56">
                  <c:v>6.3</c:v>
                </c:pt>
                <c:pt idx="57">
                  <c:v>4.9000000000000004</c:v>
                </c:pt>
                <c:pt idx="58">
                  <c:v>6.6</c:v>
                </c:pt>
                <c:pt idx="59">
                  <c:v>5.2</c:v>
                </c:pt>
                <c:pt idx="60">
                  <c:v>5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5.6</c:v>
                </c:pt>
                <c:pt idx="65">
                  <c:v>6.7</c:v>
                </c:pt>
                <c:pt idx="66">
                  <c:v>5.6</c:v>
                </c:pt>
                <c:pt idx="67">
                  <c:v>5.8</c:v>
                </c:pt>
                <c:pt idx="68">
                  <c:v>6.2</c:v>
                </c:pt>
                <c:pt idx="69">
                  <c:v>5.6</c:v>
                </c:pt>
                <c:pt idx="70">
                  <c:v>5.9</c:v>
                </c:pt>
                <c:pt idx="71">
                  <c:v>6.1</c:v>
                </c:pt>
                <c:pt idx="72">
                  <c:v>6.3</c:v>
                </c:pt>
                <c:pt idx="73">
                  <c:v>6.1</c:v>
                </c:pt>
                <c:pt idx="74">
                  <c:v>6.4</c:v>
                </c:pt>
                <c:pt idx="75">
                  <c:v>6.6</c:v>
                </c:pt>
                <c:pt idx="76">
                  <c:v>6.8</c:v>
                </c:pt>
                <c:pt idx="77">
                  <c:v>6.7</c:v>
                </c:pt>
                <c:pt idx="78">
                  <c:v>6</c:v>
                </c:pt>
                <c:pt idx="79">
                  <c:v>5.7</c:v>
                </c:pt>
                <c:pt idx="80">
                  <c:v>5.5</c:v>
                </c:pt>
                <c:pt idx="81">
                  <c:v>5.5</c:v>
                </c:pt>
                <c:pt idx="82">
                  <c:v>5.8</c:v>
                </c:pt>
                <c:pt idx="83">
                  <c:v>6</c:v>
                </c:pt>
                <c:pt idx="84">
                  <c:v>5.4</c:v>
                </c:pt>
                <c:pt idx="85">
                  <c:v>6</c:v>
                </c:pt>
                <c:pt idx="86">
                  <c:v>6.7</c:v>
                </c:pt>
                <c:pt idx="87">
                  <c:v>6.3</c:v>
                </c:pt>
                <c:pt idx="88">
                  <c:v>5.6</c:v>
                </c:pt>
                <c:pt idx="89">
                  <c:v>5.5</c:v>
                </c:pt>
                <c:pt idx="90">
                  <c:v>5.5</c:v>
                </c:pt>
                <c:pt idx="91">
                  <c:v>6.1</c:v>
                </c:pt>
                <c:pt idx="92">
                  <c:v>5.8</c:v>
                </c:pt>
                <c:pt idx="93">
                  <c:v>5</c:v>
                </c:pt>
                <c:pt idx="94">
                  <c:v>5.6</c:v>
                </c:pt>
                <c:pt idx="95">
                  <c:v>5.7</c:v>
                </c:pt>
                <c:pt idx="96">
                  <c:v>5.7</c:v>
                </c:pt>
                <c:pt idx="97">
                  <c:v>6.2</c:v>
                </c:pt>
                <c:pt idx="98">
                  <c:v>5.0999999999999996</c:v>
                </c:pt>
                <c:pt idx="99">
                  <c:v>5.7</c:v>
                </c:pt>
                <c:pt idx="100">
                  <c:v>6.3</c:v>
                </c:pt>
                <c:pt idx="101">
                  <c:v>5.8</c:v>
                </c:pt>
                <c:pt idx="102">
                  <c:v>7.1</c:v>
                </c:pt>
                <c:pt idx="103">
                  <c:v>6.3</c:v>
                </c:pt>
                <c:pt idx="104">
                  <c:v>6.5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7.3</c:v>
                </c:pt>
                <c:pt idx="108">
                  <c:v>6.7</c:v>
                </c:pt>
                <c:pt idx="109">
                  <c:v>7.2</c:v>
                </c:pt>
                <c:pt idx="110">
                  <c:v>6.5</c:v>
                </c:pt>
                <c:pt idx="111">
                  <c:v>6.4</c:v>
                </c:pt>
                <c:pt idx="112">
                  <c:v>6.8</c:v>
                </c:pt>
                <c:pt idx="113">
                  <c:v>5.7</c:v>
                </c:pt>
                <c:pt idx="114">
                  <c:v>5.8</c:v>
                </c:pt>
                <c:pt idx="115">
                  <c:v>6.4</c:v>
                </c:pt>
                <c:pt idx="116">
                  <c:v>6.5</c:v>
                </c:pt>
                <c:pt idx="117">
                  <c:v>7.7</c:v>
                </c:pt>
                <c:pt idx="118">
                  <c:v>7.7</c:v>
                </c:pt>
                <c:pt idx="119">
                  <c:v>6</c:v>
                </c:pt>
                <c:pt idx="120">
                  <c:v>6.9</c:v>
                </c:pt>
                <c:pt idx="121">
                  <c:v>5.6</c:v>
                </c:pt>
                <c:pt idx="122">
                  <c:v>7.7</c:v>
                </c:pt>
                <c:pt idx="123">
                  <c:v>6.3</c:v>
                </c:pt>
                <c:pt idx="124">
                  <c:v>6.7</c:v>
                </c:pt>
                <c:pt idx="125">
                  <c:v>7.2</c:v>
                </c:pt>
                <c:pt idx="126">
                  <c:v>6.2</c:v>
                </c:pt>
                <c:pt idx="127">
                  <c:v>6.1</c:v>
                </c:pt>
                <c:pt idx="128">
                  <c:v>6.4</c:v>
                </c:pt>
                <c:pt idx="129">
                  <c:v>7.2</c:v>
                </c:pt>
                <c:pt idx="130">
                  <c:v>7.4</c:v>
                </c:pt>
                <c:pt idx="131">
                  <c:v>7.9</c:v>
                </c:pt>
                <c:pt idx="132">
                  <c:v>6.4</c:v>
                </c:pt>
                <c:pt idx="133">
                  <c:v>6.3</c:v>
                </c:pt>
                <c:pt idx="134">
                  <c:v>6.1</c:v>
                </c:pt>
                <c:pt idx="135">
                  <c:v>7.7</c:v>
                </c:pt>
                <c:pt idx="136">
                  <c:v>6.3</c:v>
                </c:pt>
                <c:pt idx="137">
                  <c:v>6.4</c:v>
                </c:pt>
                <c:pt idx="138">
                  <c:v>6</c:v>
                </c:pt>
                <c:pt idx="139">
                  <c:v>6.9</c:v>
                </c:pt>
                <c:pt idx="140">
                  <c:v>6.7</c:v>
                </c:pt>
                <c:pt idx="141">
                  <c:v>6.9</c:v>
                </c:pt>
                <c:pt idx="142">
                  <c:v>5.8</c:v>
                </c:pt>
                <c:pt idx="143">
                  <c:v>6.8</c:v>
                </c:pt>
                <c:pt idx="144">
                  <c:v>6.7</c:v>
                </c:pt>
                <c:pt idx="145">
                  <c:v>6.7</c:v>
                </c:pt>
                <c:pt idx="146">
                  <c:v>6.3</c:v>
                </c:pt>
                <c:pt idx="147">
                  <c:v>6.5</c:v>
                </c:pt>
                <c:pt idx="148">
                  <c:v>6.2</c:v>
                </c:pt>
                <c:pt idx="149">
                  <c:v>5.9</c:v>
                </c:pt>
              </c:numCache>
            </c:numRef>
          </c:xVal>
          <c:yVal>
            <c:numRef>
              <c:f>plot_length!$B$2:$B$151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3835216"/>
        <c:axId val="-1653834128"/>
      </c:scatterChart>
      <c:valAx>
        <c:axId val="-165383521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653834128"/>
        <c:crosses val="autoZero"/>
        <c:crossBetween val="midCat"/>
      </c:valAx>
      <c:valAx>
        <c:axId val="-16538341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653835216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Sepal</a:t>
            </a:r>
            <a:r>
              <a:rPr lang="en-US" baseline="0"/>
              <a:t> Width vs Petal Width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plot_width!$A$2:$A$151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plot_width!$B$2:$B$151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3734320"/>
        <c:axId val="-1833731600"/>
      </c:scatterChart>
      <c:valAx>
        <c:axId val="-183373432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833731600"/>
        <c:crosses val="autoZero"/>
        <c:crossBetween val="midCat"/>
      </c:valAx>
      <c:valAx>
        <c:axId val="-183373160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</a:t>
                </a:r>
                <a:r>
                  <a:rPr lang="en-US" baseline="0"/>
                  <a:t> Width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833734320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Sepal</a:t>
            </a:r>
            <a:r>
              <a:rPr lang="en-US" baseline="0"/>
              <a:t> Width vs Petal Width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xVal>
            <c:numRef>
              <c:f>plot_width!$A$2:$A$151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plot_width!$B$2:$B$151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4862624"/>
        <c:axId val="-64871328"/>
      </c:scatterChart>
      <c:valAx>
        <c:axId val="-6486262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871328"/>
        <c:crosses val="autoZero"/>
        <c:crossBetween val="midCat"/>
      </c:valAx>
      <c:valAx>
        <c:axId val="-648713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</a:t>
                </a:r>
                <a:r>
                  <a:rPr lang="en-US" baseline="0"/>
                  <a:t> Width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862624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Sepal</a:t>
            </a:r>
            <a:r>
              <a:rPr lang="en-US" baseline="0"/>
              <a:t> Length vs Petal Width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cross_plot1!$A$2:$A$151</c:f>
              <c:numCache>
                <c:formatCode>General</c:formatCode>
                <c:ptCount val="150"/>
                <c:pt idx="0">
                  <c:v>5.0999999999999996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5</c:v>
                </c:pt>
                <c:pt idx="5">
                  <c:v>5.4</c:v>
                </c:pt>
                <c:pt idx="6">
                  <c:v>4.5999999999999996</c:v>
                </c:pt>
                <c:pt idx="7">
                  <c:v>5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5.4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4.7</c:v>
                </c:pt>
                <c:pt idx="30">
                  <c:v>4.8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4.9000000000000004</c:v>
                </c:pt>
                <c:pt idx="35">
                  <c:v>5</c:v>
                </c:pt>
                <c:pt idx="36">
                  <c:v>5.5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5.0999999999999996</c:v>
                </c:pt>
                <c:pt idx="40">
                  <c:v>5</c:v>
                </c:pt>
                <c:pt idx="41">
                  <c:v>4.5</c:v>
                </c:pt>
                <c:pt idx="42">
                  <c:v>4.4000000000000004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4.8</c:v>
                </c:pt>
                <c:pt idx="46">
                  <c:v>5.0999999999999996</c:v>
                </c:pt>
                <c:pt idx="47">
                  <c:v>4.5999999999999996</c:v>
                </c:pt>
                <c:pt idx="48">
                  <c:v>5.3</c:v>
                </c:pt>
                <c:pt idx="49">
                  <c:v>5</c:v>
                </c:pt>
                <c:pt idx="50">
                  <c:v>7</c:v>
                </c:pt>
                <c:pt idx="51">
                  <c:v>6.4</c:v>
                </c:pt>
                <c:pt idx="52">
                  <c:v>6.9</c:v>
                </c:pt>
                <c:pt idx="53">
                  <c:v>5.5</c:v>
                </c:pt>
                <c:pt idx="54">
                  <c:v>6.5</c:v>
                </c:pt>
                <c:pt idx="55">
                  <c:v>5.7</c:v>
                </c:pt>
                <c:pt idx="56">
                  <c:v>6.3</c:v>
                </c:pt>
                <c:pt idx="57">
                  <c:v>4.9000000000000004</c:v>
                </c:pt>
                <c:pt idx="58">
                  <c:v>6.6</c:v>
                </c:pt>
                <c:pt idx="59">
                  <c:v>5.2</c:v>
                </c:pt>
                <c:pt idx="60">
                  <c:v>5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5.6</c:v>
                </c:pt>
                <c:pt idx="65">
                  <c:v>6.7</c:v>
                </c:pt>
                <c:pt idx="66">
                  <c:v>5.6</c:v>
                </c:pt>
                <c:pt idx="67">
                  <c:v>5.8</c:v>
                </c:pt>
                <c:pt idx="68">
                  <c:v>6.2</c:v>
                </c:pt>
                <c:pt idx="69">
                  <c:v>5.6</c:v>
                </c:pt>
                <c:pt idx="70">
                  <c:v>5.9</c:v>
                </c:pt>
                <c:pt idx="71">
                  <c:v>6.1</c:v>
                </c:pt>
                <c:pt idx="72">
                  <c:v>6.3</c:v>
                </c:pt>
                <c:pt idx="73">
                  <c:v>6.1</c:v>
                </c:pt>
                <c:pt idx="74">
                  <c:v>6.4</c:v>
                </c:pt>
                <c:pt idx="75">
                  <c:v>6.6</c:v>
                </c:pt>
                <c:pt idx="76">
                  <c:v>6.8</c:v>
                </c:pt>
                <c:pt idx="77">
                  <c:v>6.7</c:v>
                </c:pt>
                <c:pt idx="78">
                  <c:v>6</c:v>
                </c:pt>
                <c:pt idx="79">
                  <c:v>5.7</c:v>
                </c:pt>
                <c:pt idx="80">
                  <c:v>5.5</c:v>
                </c:pt>
                <c:pt idx="81">
                  <c:v>5.5</c:v>
                </c:pt>
                <c:pt idx="82">
                  <c:v>5.8</c:v>
                </c:pt>
                <c:pt idx="83">
                  <c:v>6</c:v>
                </c:pt>
                <c:pt idx="84">
                  <c:v>5.4</c:v>
                </c:pt>
                <c:pt idx="85">
                  <c:v>6</c:v>
                </c:pt>
                <c:pt idx="86">
                  <c:v>6.7</c:v>
                </c:pt>
                <c:pt idx="87">
                  <c:v>6.3</c:v>
                </c:pt>
                <c:pt idx="88">
                  <c:v>5.6</c:v>
                </c:pt>
                <c:pt idx="89">
                  <c:v>5.5</c:v>
                </c:pt>
                <c:pt idx="90">
                  <c:v>5.5</c:v>
                </c:pt>
                <c:pt idx="91">
                  <c:v>6.1</c:v>
                </c:pt>
                <c:pt idx="92">
                  <c:v>5.8</c:v>
                </c:pt>
                <c:pt idx="93">
                  <c:v>5</c:v>
                </c:pt>
                <c:pt idx="94">
                  <c:v>5.6</c:v>
                </c:pt>
                <c:pt idx="95">
                  <c:v>5.7</c:v>
                </c:pt>
                <c:pt idx="96">
                  <c:v>5.7</c:v>
                </c:pt>
                <c:pt idx="97">
                  <c:v>6.2</c:v>
                </c:pt>
                <c:pt idx="98">
                  <c:v>5.0999999999999996</c:v>
                </c:pt>
                <c:pt idx="99">
                  <c:v>5.7</c:v>
                </c:pt>
                <c:pt idx="100">
                  <c:v>6.3</c:v>
                </c:pt>
                <c:pt idx="101">
                  <c:v>5.8</c:v>
                </c:pt>
                <c:pt idx="102">
                  <c:v>7.1</c:v>
                </c:pt>
                <c:pt idx="103">
                  <c:v>6.3</c:v>
                </c:pt>
                <c:pt idx="104">
                  <c:v>6.5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7.3</c:v>
                </c:pt>
                <c:pt idx="108">
                  <c:v>6.7</c:v>
                </c:pt>
                <c:pt idx="109">
                  <c:v>7.2</c:v>
                </c:pt>
                <c:pt idx="110">
                  <c:v>6.5</c:v>
                </c:pt>
                <c:pt idx="111">
                  <c:v>6.4</c:v>
                </c:pt>
                <c:pt idx="112">
                  <c:v>6.8</c:v>
                </c:pt>
                <c:pt idx="113">
                  <c:v>5.7</c:v>
                </c:pt>
                <c:pt idx="114">
                  <c:v>5.8</c:v>
                </c:pt>
                <c:pt idx="115">
                  <c:v>6.4</c:v>
                </c:pt>
                <c:pt idx="116">
                  <c:v>6.5</c:v>
                </c:pt>
                <c:pt idx="117">
                  <c:v>7.7</c:v>
                </c:pt>
                <c:pt idx="118">
                  <c:v>7.7</c:v>
                </c:pt>
                <c:pt idx="119">
                  <c:v>6</c:v>
                </c:pt>
                <c:pt idx="120">
                  <c:v>6.9</c:v>
                </c:pt>
                <c:pt idx="121">
                  <c:v>5.6</c:v>
                </c:pt>
                <c:pt idx="122">
                  <c:v>7.7</c:v>
                </c:pt>
                <c:pt idx="123">
                  <c:v>6.3</c:v>
                </c:pt>
                <c:pt idx="124">
                  <c:v>6.7</c:v>
                </c:pt>
                <c:pt idx="125">
                  <c:v>7.2</c:v>
                </c:pt>
                <c:pt idx="126">
                  <c:v>6.2</c:v>
                </c:pt>
                <c:pt idx="127">
                  <c:v>6.1</c:v>
                </c:pt>
                <c:pt idx="128">
                  <c:v>6.4</c:v>
                </c:pt>
                <c:pt idx="129">
                  <c:v>7.2</c:v>
                </c:pt>
                <c:pt idx="130">
                  <c:v>7.4</c:v>
                </c:pt>
                <c:pt idx="131">
                  <c:v>7.9</c:v>
                </c:pt>
                <c:pt idx="132">
                  <c:v>6.4</c:v>
                </c:pt>
                <c:pt idx="133">
                  <c:v>6.3</c:v>
                </c:pt>
                <c:pt idx="134">
                  <c:v>6.1</c:v>
                </c:pt>
                <c:pt idx="135">
                  <c:v>7.7</c:v>
                </c:pt>
                <c:pt idx="136">
                  <c:v>6.3</c:v>
                </c:pt>
                <c:pt idx="137">
                  <c:v>6.4</c:v>
                </c:pt>
                <c:pt idx="138">
                  <c:v>6</c:v>
                </c:pt>
                <c:pt idx="139">
                  <c:v>6.9</c:v>
                </c:pt>
                <c:pt idx="140">
                  <c:v>6.7</c:v>
                </c:pt>
                <c:pt idx="141">
                  <c:v>6.9</c:v>
                </c:pt>
                <c:pt idx="142">
                  <c:v>5.8</c:v>
                </c:pt>
                <c:pt idx="143">
                  <c:v>6.8</c:v>
                </c:pt>
                <c:pt idx="144">
                  <c:v>6.7</c:v>
                </c:pt>
                <c:pt idx="145">
                  <c:v>6.7</c:v>
                </c:pt>
                <c:pt idx="146">
                  <c:v>6.3</c:v>
                </c:pt>
                <c:pt idx="147">
                  <c:v>6.5</c:v>
                </c:pt>
                <c:pt idx="148">
                  <c:v>6.2</c:v>
                </c:pt>
                <c:pt idx="149">
                  <c:v>5.9</c:v>
                </c:pt>
              </c:numCache>
            </c:numRef>
          </c:xVal>
          <c:yVal>
            <c:numRef>
              <c:f>cross_plot1!$B$2:$B$151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26637248"/>
        <c:axId val="-526636160"/>
      </c:scatterChart>
      <c:valAx>
        <c:axId val="-52663724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526636160"/>
        <c:crosses val="autoZero"/>
        <c:crossBetween val="midCat"/>
      </c:valAx>
      <c:valAx>
        <c:axId val="-5266361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526637248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Sepal</a:t>
            </a:r>
            <a:r>
              <a:rPr lang="en-US" baseline="0"/>
              <a:t> Length vs Petal Width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xVal>
            <c:numRef>
              <c:f>cross_plot1!$A$2:$A$151</c:f>
              <c:numCache>
                <c:formatCode>General</c:formatCode>
                <c:ptCount val="150"/>
                <c:pt idx="0">
                  <c:v>5.0999999999999996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5</c:v>
                </c:pt>
                <c:pt idx="5">
                  <c:v>5.4</c:v>
                </c:pt>
                <c:pt idx="6">
                  <c:v>4.5999999999999996</c:v>
                </c:pt>
                <c:pt idx="7">
                  <c:v>5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5.4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4.7</c:v>
                </c:pt>
                <c:pt idx="30">
                  <c:v>4.8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4.9000000000000004</c:v>
                </c:pt>
                <c:pt idx="35">
                  <c:v>5</c:v>
                </c:pt>
                <c:pt idx="36">
                  <c:v>5.5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5.0999999999999996</c:v>
                </c:pt>
                <c:pt idx="40">
                  <c:v>5</c:v>
                </c:pt>
                <c:pt idx="41">
                  <c:v>4.5</c:v>
                </c:pt>
                <c:pt idx="42">
                  <c:v>4.4000000000000004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4.8</c:v>
                </c:pt>
                <c:pt idx="46">
                  <c:v>5.0999999999999996</c:v>
                </c:pt>
                <c:pt idx="47">
                  <c:v>4.5999999999999996</c:v>
                </c:pt>
                <c:pt idx="48">
                  <c:v>5.3</c:v>
                </c:pt>
                <c:pt idx="49">
                  <c:v>5</c:v>
                </c:pt>
                <c:pt idx="50">
                  <c:v>7</c:v>
                </c:pt>
                <c:pt idx="51">
                  <c:v>6.4</c:v>
                </c:pt>
                <c:pt idx="52">
                  <c:v>6.9</c:v>
                </c:pt>
                <c:pt idx="53">
                  <c:v>5.5</c:v>
                </c:pt>
                <c:pt idx="54">
                  <c:v>6.5</c:v>
                </c:pt>
                <c:pt idx="55">
                  <c:v>5.7</c:v>
                </c:pt>
                <c:pt idx="56">
                  <c:v>6.3</c:v>
                </c:pt>
                <c:pt idx="57">
                  <c:v>4.9000000000000004</c:v>
                </c:pt>
                <c:pt idx="58">
                  <c:v>6.6</c:v>
                </c:pt>
                <c:pt idx="59">
                  <c:v>5.2</c:v>
                </c:pt>
                <c:pt idx="60">
                  <c:v>5</c:v>
                </c:pt>
                <c:pt idx="61">
                  <c:v>5.9</c:v>
                </c:pt>
                <c:pt idx="62">
                  <c:v>6</c:v>
                </c:pt>
                <c:pt idx="63">
                  <c:v>6.1</c:v>
                </c:pt>
                <c:pt idx="64">
                  <c:v>5.6</c:v>
                </c:pt>
                <c:pt idx="65">
                  <c:v>6.7</c:v>
                </c:pt>
                <c:pt idx="66">
                  <c:v>5.6</c:v>
                </c:pt>
                <c:pt idx="67">
                  <c:v>5.8</c:v>
                </c:pt>
                <c:pt idx="68">
                  <c:v>6.2</c:v>
                </c:pt>
                <c:pt idx="69">
                  <c:v>5.6</c:v>
                </c:pt>
                <c:pt idx="70">
                  <c:v>5.9</c:v>
                </c:pt>
                <c:pt idx="71">
                  <c:v>6.1</c:v>
                </c:pt>
                <c:pt idx="72">
                  <c:v>6.3</c:v>
                </c:pt>
                <c:pt idx="73">
                  <c:v>6.1</c:v>
                </c:pt>
                <c:pt idx="74">
                  <c:v>6.4</c:v>
                </c:pt>
                <c:pt idx="75">
                  <c:v>6.6</c:v>
                </c:pt>
                <c:pt idx="76">
                  <c:v>6.8</c:v>
                </c:pt>
                <c:pt idx="77">
                  <c:v>6.7</c:v>
                </c:pt>
                <c:pt idx="78">
                  <c:v>6</c:v>
                </c:pt>
                <c:pt idx="79">
                  <c:v>5.7</c:v>
                </c:pt>
                <c:pt idx="80">
                  <c:v>5.5</c:v>
                </c:pt>
                <c:pt idx="81">
                  <c:v>5.5</c:v>
                </c:pt>
                <c:pt idx="82">
                  <c:v>5.8</c:v>
                </c:pt>
                <c:pt idx="83">
                  <c:v>6</c:v>
                </c:pt>
                <c:pt idx="84">
                  <c:v>5.4</c:v>
                </c:pt>
                <c:pt idx="85">
                  <c:v>6</c:v>
                </c:pt>
                <c:pt idx="86">
                  <c:v>6.7</c:v>
                </c:pt>
                <c:pt idx="87">
                  <c:v>6.3</c:v>
                </c:pt>
                <c:pt idx="88">
                  <c:v>5.6</c:v>
                </c:pt>
                <c:pt idx="89">
                  <c:v>5.5</c:v>
                </c:pt>
                <c:pt idx="90">
                  <c:v>5.5</c:v>
                </c:pt>
                <c:pt idx="91">
                  <c:v>6.1</c:v>
                </c:pt>
                <c:pt idx="92">
                  <c:v>5.8</c:v>
                </c:pt>
                <c:pt idx="93">
                  <c:v>5</c:v>
                </c:pt>
                <c:pt idx="94">
                  <c:v>5.6</c:v>
                </c:pt>
                <c:pt idx="95">
                  <c:v>5.7</c:v>
                </c:pt>
                <c:pt idx="96">
                  <c:v>5.7</c:v>
                </c:pt>
                <c:pt idx="97">
                  <c:v>6.2</c:v>
                </c:pt>
                <c:pt idx="98">
                  <c:v>5.0999999999999996</c:v>
                </c:pt>
                <c:pt idx="99">
                  <c:v>5.7</c:v>
                </c:pt>
                <c:pt idx="100">
                  <c:v>6.3</c:v>
                </c:pt>
                <c:pt idx="101">
                  <c:v>5.8</c:v>
                </c:pt>
                <c:pt idx="102">
                  <c:v>7.1</c:v>
                </c:pt>
                <c:pt idx="103">
                  <c:v>6.3</c:v>
                </c:pt>
                <c:pt idx="104">
                  <c:v>6.5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7.3</c:v>
                </c:pt>
                <c:pt idx="108">
                  <c:v>6.7</c:v>
                </c:pt>
                <c:pt idx="109">
                  <c:v>7.2</c:v>
                </c:pt>
                <c:pt idx="110">
                  <c:v>6.5</c:v>
                </c:pt>
                <c:pt idx="111">
                  <c:v>6.4</c:v>
                </c:pt>
                <c:pt idx="112">
                  <c:v>6.8</c:v>
                </c:pt>
                <c:pt idx="113">
                  <c:v>5.7</c:v>
                </c:pt>
                <c:pt idx="114">
                  <c:v>5.8</c:v>
                </c:pt>
                <c:pt idx="115">
                  <c:v>6.4</c:v>
                </c:pt>
                <c:pt idx="116">
                  <c:v>6.5</c:v>
                </c:pt>
                <c:pt idx="117">
                  <c:v>7.7</c:v>
                </c:pt>
                <c:pt idx="118">
                  <c:v>7.7</c:v>
                </c:pt>
                <c:pt idx="119">
                  <c:v>6</c:v>
                </c:pt>
                <c:pt idx="120">
                  <c:v>6.9</c:v>
                </c:pt>
                <c:pt idx="121">
                  <c:v>5.6</c:v>
                </c:pt>
                <c:pt idx="122">
                  <c:v>7.7</c:v>
                </c:pt>
                <c:pt idx="123">
                  <c:v>6.3</c:v>
                </c:pt>
                <c:pt idx="124">
                  <c:v>6.7</c:v>
                </c:pt>
                <c:pt idx="125">
                  <c:v>7.2</c:v>
                </c:pt>
                <c:pt idx="126">
                  <c:v>6.2</c:v>
                </c:pt>
                <c:pt idx="127">
                  <c:v>6.1</c:v>
                </c:pt>
                <c:pt idx="128">
                  <c:v>6.4</c:v>
                </c:pt>
                <c:pt idx="129">
                  <c:v>7.2</c:v>
                </c:pt>
                <c:pt idx="130">
                  <c:v>7.4</c:v>
                </c:pt>
                <c:pt idx="131">
                  <c:v>7.9</c:v>
                </c:pt>
                <c:pt idx="132">
                  <c:v>6.4</c:v>
                </c:pt>
                <c:pt idx="133">
                  <c:v>6.3</c:v>
                </c:pt>
                <c:pt idx="134">
                  <c:v>6.1</c:v>
                </c:pt>
                <c:pt idx="135">
                  <c:v>7.7</c:v>
                </c:pt>
                <c:pt idx="136">
                  <c:v>6.3</c:v>
                </c:pt>
                <c:pt idx="137">
                  <c:v>6.4</c:v>
                </c:pt>
                <c:pt idx="138">
                  <c:v>6</c:v>
                </c:pt>
                <c:pt idx="139">
                  <c:v>6.9</c:v>
                </c:pt>
                <c:pt idx="140">
                  <c:v>6.7</c:v>
                </c:pt>
                <c:pt idx="141">
                  <c:v>6.9</c:v>
                </c:pt>
                <c:pt idx="142">
                  <c:v>5.8</c:v>
                </c:pt>
                <c:pt idx="143">
                  <c:v>6.8</c:v>
                </c:pt>
                <c:pt idx="144">
                  <c:v>6.7</c:v>
                </c:pt>
                <c:pt idx="145">
                  <c:v>6.7</c:v>
                </c:pt>
                <c:pt idx="146">
                  <c:v>6.3</c:v>
                </c:pt>
                <c:pt idx="147">
                  <c:v>6.5</c:v>
                </c:pt>
                <c:pt idx="148">
                  <c:v>6.2</c:v>
                </c:pt>
                <c:pt idx="149">
                  <c:v>5.9</c:v>
                </c:pt>
              </c:numCache>
            </c:numRef>
          </c:xVal>
          <c:yVal>
            <c:numRef>
              <c:f>cross_plot1!$B$2:$B$151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26642144"/>
        <c:axId val="-1897247712"/>
      </c:scatterChart>
      <c:valAx>
        <c:axId val="-52664214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897247712"/>
        <c:crosses val="autoZero"/>
        <c:crossBetween val="midCat"/>
      </c:valAx>
      <c:valAx>
        <c:axId val="-189724771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526642144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Sepal Width vs Petal Length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Iris-setosa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6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7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8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9"/>
              <c:layout/>
              <c:tx>
                <c:rich>
                  <a:bodyPr/>
                  <a:lstStyle/>
                  <a:p>
                    <a:r>
                      <a:rPr lang="en-US"/>
                      <a:t>Iris-versicolor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0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1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2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3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4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5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6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7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8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9"/>
              <c:layout/>
              <c:tx>
                <c:rich>
                  <a:bodyPr/>
                  <a:lstStyle/>
                  <a:p>
                    <a:r>
                      <a:rPr lang="en-US"/>
                      <a:t>Iris-virginica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cross_plot2!$A$2:$A$151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cross_plot2!$B$2:$B$151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8974016"/>
        <c:axId val="-1898971840"/>
      </c:scatterChart>
      <c:valAx>
        <c:axId val="-189897401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898971840"/>
        <c:crosses val="autoZero"/>
        <c:crossBetween val="midCat"/>
      </c:valAx>
      <c:valAx>
        <c:axId val="-189897184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898974016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Map Sepal Width vs Petal Length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Pt>
            <c:idx val="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1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2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3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0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1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2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3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4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5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6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7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8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49"/>
            <c:marker>
              <c:symbol val="squar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dPt>
            <c:idx val="5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5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6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7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8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0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1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2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3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4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5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6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7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8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99"/>
            <c:marker>
              <c:symbol val="diamond"/>
              <c:size val="8"/>
              <c:spPr>
                <a:solidFill>
                  <a:srgbClr val="00FF00"/>
                </a:solidFill>
                <a:ln>
                  <a:solidFill>
                    <a:srgbClr val="00FF00"/>
                  </a:solidFill>
                  <a:prstDash val="solid"/>
                </a:ln>
              </c:spPr>
            </c:marker>
            <c:bubble3D val="0"/>
          </c:dPt>
          <c:dPt>
            <c:idx val="10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0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1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2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3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0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1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2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3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4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5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6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7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8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dPt>
            <c:idx val="149"/>
            <c:marker>
              <c:symbol val="triangle"/>
              <c:size val="8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</c:dPt>
          <c:xVal>
            <c:numRef>
              <c:f>cross_plot2!$A$2:$A$151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cross_plot2!$B$2:$B$151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26636704"/>
        <c:axId val="-526642688"/>
      </c:scatterChart>
      <c:valAx>
        <c:axId val="-52663670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Sepal Width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526642688"/>
        <c:crosses val="autoZero"/>
        <c:crossBetween val="midCat"/>
      </c:valAx>
      <c:valAx>
        <c:axId val="-526642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Petal Length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526636704"/>
        <c:crosses val="autoZero"/>
        <c:crossBetween val="midCat"/>
      </c:valAx>
      <c:spPr>
        <a:solidFill>
          <a:srgbClr val="D2E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147636</xdr:colOff>
      <xdr:row>126</xdr:row>
      <xdr:rowOff>128586</xdr:rowOff>
    </xdr:from>
    <xdr:to>
      <xdr:col>18</xdr:col>
      <xdr:colOff>457199</xdr:colOff>
      <xdr:row>146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347662</xdr:colOff>
      <xdr:row>14</xdr:row>
      <xdr:rowOff>80962</xdr:rowOff>
    </xdr:from>
    <xdr:to>
      <xdr:col>17</xdr:col>
      <xdr:colOff>42862</xdr:colOff>
      <xdr:row>28</xdr:row>
      <xdr:rowOff>147637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390524</xdr:colOff>
      <xdr:row>0</xdr:row>
      <xdr:rowOff>57150</xdr:rowOff>
    </xdr:from>
    <xdr:to>
      <xdr:col>15</xdr:col>
      <xdr:colOff>133349</xdr:colOff>
      <xdr:row>22</xdr:row>
      <xdr:rowOff>171450</xdr:rowOff>
    </xdr:to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14</xdr:col>
      <xdr:colOff>352425</xdr:colOff>
      <xdr:row>47</xdr:row>
      <xdr:rowOff>114300</xdr:rowOff>
    </xdr:to>
    <xdr:graphicFrame macro="">
      <xdr:nvGraphicFramePr>
        <xdr:cNvPr id="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0</xdr:row>
      <xdr:rowOff>190499</xdr:rowOff>
    </xdr:from>
    <xdr:to>
      <xdr:col>15</xdr:col>
      <xdr:colOff>9525</xdr:colOff>
      <xdr:row>21</xdr:row>
      <xdr:rowOff>180975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609598</xdr:colOff>
      <xdr:row>0</xdr:row>
      <xdr:rowOff>190499</xdr:rowOff>
    </xdr:from>
    <xdr:to>
      <xdr:col>15</xdr:col>
      <xdr:colOff>133349</xdr:colOff>
      <xdr:row>20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22</xdr:row>
      <xdr:rowOff>0</xdr:rowOff>
    </xdr:from>
    <xdr:to>
      <xdr:col>15</xdr:col>
      <xdr:colOff>133351</xdr:colOff>
      <xdr:row>41</xdr:row>
      <xdr:rowOff>123826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1</xdr:row>
      <xdr:rowOff>47624</xdr:rowOff>
    </xdr:from>
    <xdr:to>
      <xdr:col>15</xdr:col>
      <xdr:colOff>152400</xdr:colOff>
      <xdr:row>23</xdr:row>
      <xdr:rowOff>66675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24</xdr:row>
      <xdr:rowOff>0</xdr:rowOff>
    </xdr:from>
    <xdr:to>
      <xdr:col>14</xdr:col>
      <xdr:colOff>476251</xdr:colOff>
      <xdr:row>46</xdr:row>
      <xdr:rowOff>19051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152400</xdr:colOff>
      <xdr:row>22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24</xdr:row>
      <xdr:rowOff>0</xdr:rowOff>
    </xdr:from>
    <xdr:to>
      <xdr:col>15</xdr:col>
      <xdr:colOff>152400</xdr:colOff>
      <xdr:row>45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223837</xdr:colOff>
      <xdr:row>0</xdr:row>
      <xdr:rowOff>80962</xdr:rowOff>
    </xdr:from>
    <xdr:to>
      <xdr:col>15</xdr:col>
      <xdr:colOff>257175</xdr:colOff>
      <xdr:row>22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123825</xdr:colOff>
      <xdr:row>57</xdr:row>
      <xdr:rowOff>0</xdr:rowOff>
    </xdr:from>
    <xdr:to>
      <xdr:col>15</xdr:col>
      <xdr:colOff>157163</xdr:colOff>
      <xdr:row>79</xdr:row>
      <xdr:rowOff>42863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ristiana" refreshedDate="43400.645619907409" createdVersion="5" refreshedVersion="5" minRefreshableVersion="3" recordCount="150">
  <cacheSource type="worksheet">
    <worksheetSource ref="A1:F151" sheet="IRIS2"/>
  </cacheSource>
  <cacheFields count="6">
    <cacheField name="id" numFmtId="0">
      <sharedItems containsSemiMixedTypes="0" containsString="0" containsNumber="1" containsInteger="1" minValue="1" maxValue="150"/>
    </cacheField>
    <cacheField name="sepal_length" numFmtId="0">
      <sharedItems containsSemiMixedTypes="0" containsString="0" containsNumber="1" minValue="4.3" maxValue="7.9"/>
    </cacheField>
    <cacheField name="sepal_width" numFmtId="0">
      <sharedItems containsSemiMixedTypes="0" containsString="0" containsNumber="1" minValue="2" maxValue="4.4000000000000004"/>
    </cacheField>
    <cacheField name="petal_length" numFmtId="0">
      <sharedItems containsSemiMixedTypes="0" containsString="0" containsNumber="1" minValue="1" maxValue="6.9"/>
    </cacheField>
    <cacheField name="petal_width" numFmtId="0">
      <sharedItems containsSemiMixedTypes="0" containsString="0" containsNumber="1" minValue="0.1" maxValue="2.5"/>
    </cacheField>
    <cacheField name="class" numFmtId="0">
      <sharedItems count="3">
        <s v="Iris-setosa"/>
        <s v="Iris-versicolor"/>
        <s v="Iris-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n v="1"/>
    <n v="5.0999999999999996"/>
    <n v="3.5"/>
    <n v="1.4"/>
    <n v="0.2"/>
    <x v="0"/>
  </r>
  <r>
    <n v="2"/>
    <n v="4.9000000000000004"/>
    <n v="3"/>
    <n v="1.4"/>
    <n v="0.2"/>
    <x v="0"/>
  </r>
  <r>
    <n v="3"/>
    <n v="4.7"/>
    <n v="3.2"/>
    <n v="1.3"/>
    <n v="0.2"/>
    <x v="0"/>
  </r>
  <r>
    <n v="4"/>
    <n v="4.5999999999999996"/>
    <n v="3.1"/>
    <n v="1.5"/>
    <n v="0.2"/>
    <x v="0"/>
  </r>
  <r>
    <n v="5"/>
    <n v="5"/>
    <n v="3.6"/>
    <n v="1.4"/>
    <n v="0.2"/>
    <x v="0"/>
  </r>
  <r>
    <n v="6"/>
    <n v="5.4"/>
    <n v="3.9"/>
    <n v="1.7"/>
    <n v="0.4"/>
    <x v="0"/>
  </r>
  <r>
    <n v="7"/>
    <n v="4.5999999999999996"/>
    <n v="3.4"/>
    <n v="1.4"/>
    <n v="0.3"/>
    <x v="0"/>
  </r>
  <r>
    <n v="8"/>
    <n v="5"/>
    <n v="3.4"/>
    <n v="1.5"/>
    <n v="0.2"/>
    <x v="0"/>
  </r>
  <r>
    <n v="9"/>
    <n v="4.4000000000000004"/>
    <n v="2.9"/>
    <n v="1.4"/>
    <n v="0.2"/>
    <x v="0"/>
  </r>
  <r>
    <n v="10"/>
    <n v="4.9000000000000004"/>
    <n v="3.1"/>
    <n v="1.5"/>
    <n v="0.1"/>
    <x v="0"/>
  </r>
  <r>
    <n v="11"/>
    <n v="5.4"/>
    <n v="3.7"/>
    <n v="1.5"/>
    <n v="0.2"/>
    <x v="0"/>
  </r>
  <r>
    <n v="12"/>
    <n v="4.8"/>
    <n v="3.4"/>
    <n v="1.6"/>
    <n v="0.2"/>
    <x v="0"/>
  </r>
  <r>
    <n v="13"/>
    <n v="4.8"/>
    <n v="3"/>
    <n v="1.4"/>
    <n v="0.1"/>
    <x v="0"/>
  </r>
  <r>
    <n v="14"/>
    <n v="4.3"/>
    <n v="3"/>
    <n v="1.1000000000000001"/>
    <n v="0.1"/>
    <x v="0"/>
  </r>
  <r>
    <n v="15"/>
    <n v="5.8"/>
    <n v="4"/>
    <n v="1.2"/>
    <n v="0.2"/>
    <x v="0"/>
  </r>
  <r>
    <n v="16"/>
    <n v="5.7"/>
    <n v="4.4000000000000004"/>
    <n v="1.5"/>
    <n v="0.4"/>
    <x v="0"/>
  </r>
  <r>
    <n v="17"/>
    <n v="5.4"/>
    <n v="3.9"/>
    <n v="1.3"/>
    <n v="0.4"/>
    <x v="0"/>
  </r>
  <r>
    <n v="18"/>
    <n v="5.0999999999999996"/>
    <n v="3.5"/>
    <n v="1.4"/>
    <n v="0.3"/>
    <x v="0"/>
  </r>
  <r>
    <n v="19"/>
    <n v="5.7"/>
    <n v="3.8"/>
    <n v="1.7"/>
    <n v="0.3"/>
    <x v="0"/>
  </r>
  <r>
    <n v="20"/>
    <n v="5.0999999999999996"/>
    <n v="3.8"/>
    <n v="1.5"/>
    <n v="0.3"/>
    <x v="0"/>
  </r>
  <r>
    <n v="21"/>
    <n v="5.4"/>
    <n v="3.4"/>
    <n v="1.7"/>
    <n v="0.2"/>
    <x v="0"/>
  </r>
  <r>
    <n v="22"/>
    <n v="5.0999999999999996"/>
    <n v="3.7"/>
    <n v="1.5"/>
    <n v="0.4"/>
    <x v="0"/>
  </r>
  <r>
    <n v="23"/>
    <n v="4.5999999999999996"/>
    <n v="3.6"/>
    <n v="1"/>
    <n v="0.2"/>
    <x v="0"/>
  </r>
  <r>
    <n v="24"/>
    <n v="5.0999999999999996"/>
    <n v="3.3"/>
    <n v="1.7"/>
    <n v="0.5"/>
    <x v="0"/>
  </r>
  <r>
    <n v="25"/>
    <n v="4.8"/>
    <n v="3.4"/>
    <n v="1.9"/>
    <n v="0.2"/>
    <x v="0"/>
  </r>
  <r>
    <n v="26"/>
    <n v="5"/>
    <n v="3"/>
    <n v="1.6"/>
    <n v="0.2"/>
    <x v="0"/>
  </r>
  <r>
    <n v="27"/>
    <n v="5"/>
    <n v="3.4"/>
    <n v="1.6"/>
    <n v="0.4"/>
    <x v="0"/>
  </r>
  <r>
    <n v="28"/>
    <n v="5.2"/>
    <n v="3.5"/>
    <n v="1.5"/>
    <n v="0.2"/>
    <x v="0"/>
  </r>
  <r>
    <n v="29"/>
    <n v="5.2"/>
    <n v="3.4"/>
    <n v="1.4"/>
    <n v="0.2"/>
    <x v="0"/>
  </r>
  <r>
    <n v="30"/>
    <n v="4.7"/>
    <n v="3.2"/>
    <n v="1.6"/>
    <n v="0.2"/>
    <x v="0"/>
  </r>
  <r>
    <n v="31"/>
    <n v="4.8"/>
    <n v="3.1"/>
    <n v="1.6"/>
    <n v="0.2"/>
    <x v="0"/>
  </r>
  <r>
    <n v="32"/>
    <n v="5.4"/>
    <n v="3.4"/>
    <n v="1.5"/>
    <n v="0.4"/>
    <x v="0"/>
  </r>
  <r>
    <n v="33"/>
    <n v="5.2"/>
    <n v="4.0999999999999996"/>
    <n v="1.5"/>
    <n v="0.1"/>
    <x v="0"/>
  </r>
  <r>
    <n v="34"/>
    <n v="5.5"/>
    <n v="4.2"/>
    <n v="1.4"/>
    <n v="0.2"/>
    <x v="0"/>
  </r>
  <r>
    <n v="35"/>
    <n v="4.9000000000000004"/>
    <n v="3.1"/>
    <n v="1.5"/>
    <n v="0.1"/>
    <x v="0"/>
  </r>
  <r>
    <n v="36"/>
    <n v="5"/>
    <n v="3.2"/>
    <n v="1.2"/>
    <n v="0.2"/>
    <x v="0"/>
  </r>
  <r>
    <n v="37"/>
    <n v="5.5"/>
    <n v="3.5"/>
    <n v="1.3"/>
    <n v="0.2"/>
    <x v="0"/>
  </r>
  <r>
    <n v="38"/>
    <n v="4.9000000000000004"/>
    <n v="3.1"/>
    <n v="1.5"/>
    <n v="0.1"/>
    <x v="0"/>
  </r>
  <r>
    <n v="39"/>
    <n v="4.4000000000000004"/>
    <n v="3"/>
    <n v="1.3"/>
    <n v="0.2"/>
    <x v="0"/>
  </r>
  <r>
    <n v="40"/>
    <n v="5.0999999999999996"/>
    <n v="3.4"/>
    <n v="1.5"/>
    <n v="0.2"/>
    <x v="0"/>
  </r>
  <r>
    <n v="41"/>
    <n v="5"/>
    <n v="3.5"/>
    <n v="1.3"/>
    <n v="0.3"/>
    <x v="0"/>
  </r>
  <r>
    <n v="42"/>
    <n v="4.5"/>
    <n v="2.2999999999999998"/>
    <n v="1.3"/>
    <n v="0.3"/>
    <x v="0"/>
  </r>
  <r>
    <n v="43"/>
    <n v="4.4000000000000004"/>
    <n v="3.2"/>
    <n v="1.3"/>
    <n v="0.2"/>
    <x v="0"/>
  </r>
  <r>
    <n v="44"/>
    <n v="5"/>
    <n v="3.5"/>
    <n v="1.6"/>
    <n v="0.6"/>
    <x v="0"/>
  </r>
  <r>
    <n v="45"/>
    <n v="5.0999999999999996"/>
    <n v="3.8"/>
    <n v="1.9"/>
    <n v="0.4"/>
    <x v="0"/>
  </r>
  <r>
    <n v="46"/>
    <n v="4.8"/>
    <n v="3"/>
    <n v="1.4"/>
    <n v="0.3"/>
    <x v="0"/>
  </r>
  <r>
    <n v="47"/>
    <n v="5.0999999999999996"/>
    <n v="3.8"/>
    <n v="1.6"/>
    <n v="0.2"/>
    <x v="0"/>
  </r>
  <r>
    <n v="48"/>
    <n v="4.5999999999999996"/>
    <n v="3.2"/>
    <n v="1.4"/>
    <n v="0.2"/>
    <x v="0"/>
  </r>
  <r>
    <n v="49"/>
    <n v="5.3"/>
    <n v="3.7"/>
    <n v="1.5"/>
    <n v="0.2"/>
    <x v="0"/>
  </r>
  <r>
    <n v="50"/>
    <n v="5"/>
    <n v="3.3"/>
    <n v="1.4"/>
    <n v="0.2"/>
    <x v="0"/>
  </r>
  <r>
    <n v="51"/>
    <n v="7"/>
    <n v="3.2"/>
    <n v="4.7"/>
    <n v="1.4"/>
    <x v="1"/>
  </r>
  <r>
    <n v="52"/>
    <n v="6.4"/>
    <n v="3.2"/>
    <n v="4.5"/>
    <n v="1.5"/>
    <x v="1"/>
  </r>
  <r>
    <n v="53"/>
    <n v="6.9"/>
    <n v="3.1"/>
    <n v="4.9000000000000004"/>
    <n v="1.5"/>
    <x v="1"/>
  </r>
  <r>
    <n v="54"/>
    <n v="5.5"/>
    <n v="2.2999999999999998"/>
    <n v="4"/>
    <n v="1.3"/>
    <x v="1"/>
  </r>
  <r>
    <n v="55"/>
    <n v="6.5"/>
    <n v="2.8"/>
    <n v="4.5999999999999996"/>
    <n v="1.5"/>
    <x v="1"/>
  </r>
  <r>
    <n v="56"/>
    <n v="5.7"/>
    <n v="2.8"/>
    <n v="4.5"/>
    <n v="1.3"/>
    <x v="1"/>
  </r>
  <r>
    <n v="57"/>
    <n v="6.3"/>
    <n v="3.3"/>
    <n v="4.7"/>
    <n v="1.6"/>
    <x v="1"/>
  </r>
  <r>
    <n v="58"/>
    <n v="4.9000000000000004"/>
    <n v="2.4"/>
    <n v="3.3"/>
    <n v="1"/>
    <x v="1"/>
  </r>
  <r>
    <n v="59"/>
    <n v="6.6"/>
    <n v="2.9"/>
    <n v="4.5999999999999996"/>
    <n v="1.3"/>
    <x v="1"/>
  </r>
  <r>
    <n v="60"/>
    <n v="5.2"/>
    <n v="2.7"/>
    <n v="3.9"/>
    <n v="1.4"/>
    <x v="1"/>
  </r>
  <r>
    <n v="61"/>
    <n v="5"/>
    <n v="2"/>
    <n v="3.5"/>
    <n v="1"/>
    <x v="1"/>
  </r>
  <r>
    <n v="62"/>
    <n v="5.9"/>
    <n v="3"/>
    <n v="4.2"/>
    <n v="1.5"/>
    <x v="1"/>
  </r>
  <r>
    <n v="63"/>
    <n v="6"/>
    <n v="2.2000000000000002"/>
    <n v="4"/>
    <n v="1"/>
    <x v="1"/>
  </r>
  <r>
    <n v="64"/>
    <n v="6.1"/>
    <n v="2.9"/>
    <n v="4.7"/>
    <n v="1.4"/>
    <x v="1"/>
  </r>
  <r>
    <n v="65"/>
    <n v="5.6"/>
    <n v="2.9"/>
    <n v="3.6"/>
    <n v="1.3"/>
    <x v="1"/>
  </r>
  <r>
    <n v="66"/>
    <n v="6.7"/>
    <n v="3.1"/>
    <n v="4.4000000000000004"/>
    <n v="1.4"/>
    <x v="1"/>
  </r>
  <r>
    <n v="67"/>
    <n v="5.6"/>
    <n v="3"/>
    <n v="4.5"/>
    <n v="1.5"/>
    <x v="1"/>
  </r>
  <r>
    <n v="68"/>
    <n v="5.8"/>
    <n v="2.7"/>
    <n v="4.0999999999999996"/>
    <n v="1"/>
    <x v="1"/>
  </r>
  <r>
    <n v="69"/>
    <n v="6.2"/>
    <n v="2.2000000000000002"/>
    <n v="4.5"/>
    <n v="1.5"/>
    <x v="1"/>
  </r>
  <r>
    <n v="70"/>
    <n v="5.6"/>
    <n v="2.5"/>
    <n v="3.9"/>
    <n v="1.1000000000000001"/>
    <x v="1"/>
  </r>
  <r>
    <n v="71"/>
    <n v="5.9"/>
    <n v="3.2"/>
    <n v="4.8"/>
    <n v="1.8"/>
    <x v="1"/>
  </r>
  <r>
    <n v="72"/>
    <n v="6.1"/>
    <n v="2.8"/>
    <n v="4"/>
    <n v="1.3"/>
    <x v="1"/>
  </r>
  <r>
    <n v="73"/>
    <n v="6.3"/>
    <n v="2.5"/>
    <n v="4.9000000000000004"/>
    <n v="1.5"/>
    <x v="1"/>
  </r>
  <r>
    <n v="74"/>
    <n v="6.1"/>
    <n v="2.8"/>
    <n v="4.7"/>
    <n v="1.2"/>
    <x v="1"/>
  </r>
  <r>
    <n v="75"/>
    <n v="6.4"/>
    <n v="2.9"/>
    <n v="4.3"/>
    <n v="1.3"/>
    <x v="1"/>
  </r>
  <r>
    <n v="76"/>
    <n v="6.6"/>
    <n v="3"/>
    <n v="4.4000000000000004"/>
    <n v="1.4"/>
    <x v="1"/>
  </r>
  <r>
    <n v="77"/>
    <n v="6.8"/>
    <n v="2.8"/>
    <n v="4.8"/>
    <n v="1.4"/>
    <x v="1"/>
  </r>
  <r>
    <n v="78"/>
    <n v="6.7"/>
    <n v="3"/>
    <n v="5"/>
    <n v="1.7"/>
    <x v="1"/>
  </r>
  <r>
    <n v="79"/>
    <n v="6"/>
    <n v="2.9"/>
    <n v="4.5"/>
    <n v="1.5"/>
    <x v="1"/>
  </r>
  <r>
    <n v="80"/>
    <n v="5.7"/>
    <n v="2.6"/>
    <n v="3.5"/>
    <n v="1"/>
    <x v="1"/>
  </r>
  <r>
    <n v="81"/>
    <n v="5.5"/>
    <n v="2.4"/>
    <n v="3.8"/>
    <n v="1.1000000000000001"/>
    <x v="1"/>
  </r>
  <r>
    <n v="82"/>
    <n v="5.5"/>
    <n v="2.4"/>
    <n v="3.7"/>
    <n v="1"/>
    <x v="1"/>
  </r>
  <r>
    <n v="83"/>
    <n v="5.8"/>
    <n v="2.7"/>
    <n v="3.9"/>
    <n v="1.2"/>
    <x v="1"/>
  </r>
  <r>
    <n v="84"/>
    <n v="6"/>
    <n v="2.7"/>
    <n v="5.0999999999999996"/>
    <n v="1.6"/>
    <x v="1"/>
  </r>
  <r>
    <n v="85"/>
    <n v="5.4"/>
    <n v="3"/>
    <n v="4.5"/>
    <n v="1.5"/>
    <x v="1"/>
  </r>
  <r>
    <n v="86"/>
    <n v="6"/>
    <n v="3.4"/>
    <n v="4.5"/>
    <n v="1.6"/>
    <x v="1"/>
  </r>
  <r>
    <n v="87"/>
    <n v="6.7"/>
    <n v="3.1"/>
    <n v="4.7"/>
    <n v="1.5"/>
    <x v="1"/>
  </r>
  <r>
    <n v="88"/>
    <n v="6.3"/>
    <n v="2.2999999999999998"/>
    <n v="4.4000000000000004"/>
    <n v="1.3"/>
    <x v="1"/>
  </r>
  <r>
    <n v="89"/>
    <n v="5.6"/>
    <n v="3"/>
    <n v="4.0999999999999996"/>
    <n v="1.3"/>
    <x v="1"/>
  </r>
  <r>
    <n v="90"/>
    <n v="5.5"/>
    <n v="2.5"/>
    <n v="4"/>
    <n v="1.3"/>
    <x v="1"/>
  </r>
  <r>
    <n v="91"/>
    <n v="5.5"/>
    <n v="2.6"/>
    <n v="4.4000000000000004"/>
    <n v="1.2"/>
    <x v="1"/>
  </r>
  <r>
    <n v="92"/>
    <n v="6.1"/>
    <n v="3"/>
    <n v="4.5999999999999996"/>
    <n v="1.4"/>
    <x v="1"/>
  </r>
  <r>
    <n v="93"/>
    <n v="5.8"/>
    <n v="2.6"/>
    <n v="4"/>
    <n v="1.2"/>
    <x v="1"/>
  </r>
  <r>
    <n v="94"/>
    <n v="5"/>
    <n v="2.2999999999999998"/>
    <n v="3.3"/>
    <n v="1"/>
    <x v="1"/>
  </r>
  <r>
    <n v="95"/>
    <n v="5.6"/>
    <n v="2.7"/>
    <n v="4.2"/>
    <n v="1.3"/>
    <x v="1"/>
  </r>
  <r>
    <n v="96"/>
    <n v="5.7"/>
    <n v="3"/>
    <n v="4.2"/>
    <n v="1.2"/>
    <x v="1"/>
  </r>
  <r>
    <n v="97"/>
    <n v="5.7"/>
    <n v="2.9"/>
    <n v="4.2"/>
    <n v="1.3"/>
    <x v="1"/>
  </r>
  <r>
    <n v="98"/>
    <n v="6.2"/>
    <n v="2.9"/>
    <n v="4.3"/>
    <n v="1.3"/>
    <x v="1"/>
  </r>
  <r>
    <n v="99"/>
    <n v="5.0999999999999996"/>
    <n v="2.5"/>
    <n v="3"/>
    <n v="1.1000000000000001"/>
    <x v="1"/>
  </r>
  <r>
    <n v="100"/>
    <n v="5.7"/>
    <n v="2.8"/>
    <n v="4.0999999999999996"/>
    <n v="1.3"/>
    <x v="1"/>
  </r>
  <r>
    <n v="101"/>
    <n v="6.3"/>
    <n v="3.3"/>
    <n v="6"/>
    <n v="2.5"/>
    <x v="2"/>
  </r>
  <r>
    <n v="102"/>
    <n v="5.8"/>
    <n v="2.7"/>
    <n v="5.0999999999999996"/>
    <n v="1.9"/>
    <x v="2"/>
  </r>
  <r>
    <n v="103"/>
    <n v="7.1"/>
    <n v="3"/>
    <n v="5.9"/>
    <n v="2.1"/>
    <x v="2"/>
  </r>
  <r>
    <n v="104"/>
    <n v="6.3"/>
    <n v="2.9"/>
    <n v="5.6"/>
    <n v="1.8"/>
    <x v="2"/>
  </r>
  <r>
    <n v="105"/>
    <n v="6.5"/>
    <n v="3"/>
    <n v="5.8"/>
    <n v="2.2000000000000002"/>
    <x v="2"/>
  </r>
  <r>
    <n v="106"/>
    <n v="7.6"/>
    <n v="3"/>
    <n v="6.6"/>
    <n v="2.1"/>
    <x v="2"/>
  </r>
  <r>
    <n v="107"/>
    <n v="4.9000000000000004"/>
    <n v="2.5"/>
    <n v="4.5"/>
    <n v="1.7"/>
    <x v="2"/>
  </r>
  <r>
    <n v="108"/>
    <n v="7.3"/>
    <n v="2.9"/>
    <n v="6.3"/>
    <n v="1.8"/>
    <x v="2"/>
  </r>
  <r>
    <n v="109"/>
    <n v="6.7"/>
    <n v="2.5"/>
    <n v="5.8"/>
    <n v="1.8"/>
    <x v="2"/>
  </r>
  <r>
    <n v="110"/>
    <n v="7.2"/>
    <n v="3.6"/>
    <n v="6.1"/>
    <n v="2.5"/>
    <x v="2"/>
  </r>
  <r>
    <n v="111"/>
    <n v="6.5"/>
    <n v="3.2"/>
    <n v="5.0999999999999996"/>
    <n v="2"/>
    <x v="2"/>
  </r>
  <r>
    <n v="112"/>
    <n v="6.4"/>
    <n v="2.7"/>
    <n v="5.3"/>
    <n v="1.9"/>
    <x v="2"/>
  </r>
  <r>
    <n v="113"/>
    <n v="6.8"/>
    <n v="3"/>
    <n v="5.5"/>
    <n v="2.1"/>
    <x v="2"/>
  </r>
  <r>
    <n v="114"/>
    <n v="5.7"/>
    <n v="2.5"/>
    <n v="5"/>
    <n v="2"/>
    <x v="2"/>
  </r>
  <r>
    <n v="115"/>
    <n v="5.8"/>
    <n v="2.8"/>
    <n v="5.0999999999999996"/>
    <n v="2.4"/>
    <x v="2"/>
  </r>
  <r>
    <n v="116"/>
    <n v="6.4"/>
    <n v="3.2"/>
    <n v="5.3"/>
    <n v="2.2999999999999998"/>
    <x v="2"/>
  </r>
  <r>
    <n v="117"/>
    <n v="6.5"/>
    <n v="3"/>
    <n v="5.5"/>
    <n v="1.8"/>
    <x v="2"/>
  </r>
  <r>
    <n v="118"/>
    <n v="7.7"/>
    <n v="3.8"/>
    <n v="6.7"/>
    <n v="2.2000000000000002"/>
    <x v="2"/>
  </r>
  <r>
    <n v="119"/>
    <n v="7.7"/>
    <n v="2.6"/>
    <n v="6.9"/>
    <n v="2.2999999999999998"/>
    <x v="2"/>
  </r>
  <r>
    <n v="120"/>
    <n v="6"/>
    <n v="2.2000000000000002"/>
    <n v="5"/>
    <n v="1.5"/>
    <x v="2"/>
  </r>
  <r>
    <n v="121"/>
    <n v="6.9"/>
    <n v="3.2"/>
    <n v="5.7"/>
    <n v="2.2999999999999998"/>
    <x v="2"/>
  </r>
  <r>
    <n v="122"/>
    <n v="5.6"/>
    <n v="2.8"/>
    <n v="4.9000000000000004"/>
    <n v="2"/>
    <x v="2"/>
  </r>
  <r>
    <n v="123"/>
    <n v="7.7"/>
    <n v="2.8"/>
    <n v="6.7"/>
    <n v="2"/>
    <x v="2"/>
  </r>
  <r>
    <n v="124"/>
    <n v="6.3"/>
    <n v="2.7"/>
    <n v="4.9000000000000004"/>
    <n v="1.8"/>
    <x v="2"/>
  </r>
  <r>
    <n v="125"/>
    <n v="6.7"/>
    <n v="3.3"/>
    <n v="5.7"/>
    <n v="2.1"/>
    <x v="2"/>
  </r>
  <r>
    <n v="126"/>
    <n v="7.2"/>
    <n v="3.2"/>
    <n v="6"/>
    <n v="1.8"/>
    <x v="2"/>
  </r>
  <r>
    <n v="127"/>
    <n v="6.2"/>
    <n v="2.8"/>
    <n v="4.8"/>
    <n v="1.8"/>
    <x v="2"/>
  </r>
  <r>
    <n v="128"/>
    <n v="6.1"/>
    <n v="3"/>
    <n v="4.9000000000000004"/>
    <n v="1.8"/>
    <x v="2"/>
  </r>
  <r>
    <n v="129"/>
    <n v="6.4"/>
    <n v="2.8"/>
    <n v="5.6"/>
    <n v="2.1"/>
    <x v="2"/>
  </r>
  <r>
    <n v="130"/>
    <n v="7.2"/>
    <n v="3"/>
    <n v="5.8"/>
    <n v="1.6"/>
    <x v="2"/>
  </r>
  <r>
    <n v="131"/>
    <n v="7.4"/>
    <n v="2.8"/>
    <n v="6.1"/>
    <n v="1.9"/>
    <x v="2"/>
  </r>
  <r>
    <n v="132"/>
    <n v="7.9"/>
    <n v="3.8"/>
    <n v="6.4"/>
    <n v="2"/>
    <x v="2"/>
  </r>
  <r>
    <n v="133"/>
    <n v="6.4"/>
    <n v="2.8"/>
    <n v="5.6"/>
    <n v="2.2000000000000002"/>
    <x v="2"/>
  </r>
  <r>
    <n v="134"/>
    <n v="6.3"/>
    <n v="2.8"/>
    <n v="5.0999999999999996"/>
    <n v="1.5"/>
    <x v="2"/>
  </r>
  <r>
    <n v="135"/>
    <n v="6.1"/>
    <n v="2.6"/>
    <n v="5.6"/>
    <n v="1.4"/>
    <x v="2"/>
  </r>
  <r>
    <n v="136"/>
    <n v="7.7"/>
    <n v="3"/>
    <n v="6.1"/>
    <n v="2.2999999999999998"/>
    <x v="2"/>
  </r>
  <r>
    <n v="137"/>
    <n v="6.3"/>
    <n v="3.4"/>
    <n v="5.6"/>
    <n v="2.4"/>
    <x v="2"/>
  </r>
  <r>
    <n v="138"/>
    <n v="6.4"/>
    <n v="3.1"/>
    <n v="5.5"/>
    <n v="1.8"/>
    <x v="2"/>
  </r>
  <r>
    <n v="139"/>
    <n v="6"/>
    <n v="3"/>
    <n v="4.8"/>
    <n v="1.8"/>
    <x v="2"/>
  </r>
  <r>
    <n v="140"/>
    <n v="6.9"/>
    <n v="3.1"/>
    <n v="5.4"/>
    <n v="2.1"/>
    <x v="2"/>
  </r>
  <r>
    <n v="141"/>
    <n v="6.7"/>
    <n v="3.1"/>
    <n v="5.6"/>
    <n v="2.4"/>
    <x v="2"/>
  </r>
  <r>
    <n v="142"/>
    <n v="6.9"/>
    <n v="3.1"/>
    <n v="5.0999999999999996"/>
    <n v="2.2999999999999998"/>
    <x v="2"/>
  </r>
  <r>
    <n v="143"/>
    <n v="5.8"/>
    <n v="2.7"/>
    <n v="5.0999999999999996"/>
    <n v="1.9"/>
    <x v="2"/>
  </r>
  <r>
    <n v="144"/>
    <n v="6.8"/>
    <n v="3.2"/>
    <n v="5.9"/>
    <n v="2.2999999999999998"/>
    <x v="2"/>
  </r>
  <r>
    <n v="145"/>
    <n v="6.7"/>
    <n v="3.3"/>
    <n v="5.7"/>
    <n v="2.5"/>
    <x v="2"/>
  </r>
  <r>
    <n v="146"/>
    <n v="6.7"/>
    <n v="3"/>
    <n v="5.2"/>
    <n v="2.2999999999999998"/>
    <x v="2"/>
  </r>
  <r>
    <n v="147"/>
    <n v="6.3"/>
    <n v="2.5"/>
    <n v="5"/>
    <n v="1.9"/>
    <x v="2"/>
  </r>
  <r>
    <n v="148"/>
    <n v="6.5"/>
    <n v="3"/>
    <n v="5.2"/>
    <n v="2"/>
    <x v="2"/>
  </r>
  <r>
    <n v="149"/>
    <n v="6.2"/>
    <n v="3.4"/>
    <n v="5.4"/>
    <n v="2.2999999999999998"/>
    <x v="2"/>
  </r>
  <r>
    <n v="150"/>
    <n v="5.9"/>
    <n v="3"/>
    <n v="5.0999999999999996"/>
    <n v="1.8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E7" firstHeaderRow="0" firstDataRow="1" firstDataCol="1"/>
  <pivotFields count="6">
    <pivotField showAll="0"/>
    <pivotField showAll="0"/>
    <pivotField showAll="0"/>
    <pivotField dataField="1" showAll="0"/>
    <pivotField dataField="1" showAll="0"/>
    <pivotField axis="axisRow" showAll="0">
      <items count="4">
        <item x="0"/>
        <item x="1"/>
        <item x="2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in of petal_length" fld="3" subtotal="min" baseField="5" baseItem="0"/>
    <dataField name="Max of petal_length" fld="3" subtotal="max" baseField="5" baseItem="0"/>
    <dataField name="Min of petal_width" fld="4" subtotal="min" baseField="5" baseItem="1"/>
    <dataField name="Max of petal_width" fld="4" subtotal="max" baseField="5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E7" firstHeaderRow="0" firstDataRow="1" firstDataCol="1"/>
  <pivotFields count="6">
    <pivotField showAll="0"/>
    <pivotField dataField="1" showAll="0"/>
    <pivotField dataField="1" showAll="0"/>
    <pivotField showAll="0"/>
    <pivotField showAll="0"/>
    <pivotField axis="axisRow" showAll="0">
      <items count="4">
        <item x="0"/>
        <item x="1"/>
        <item x="2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in of sepal_length" fld="1" subtotal="min" baseField="5" baseItem="0"/>
    <dataField name="Max of sepal_length" fld="1" subtotal="max" baseField="5" baseItem="0"/>
    <dataField name="Min of sepal_width" fld="2" subtotal="min" baseField="5" baseItem="0"/>
    <dataField name="Max of sepal_width" fld="2" subtotal="max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7"/>
  <sheetViews>
    <sheetView workbookViewId="0">
      <selection activeCell="A3" sqref="A3:E7"/>
    </sheetView>
  </sheetViews>
  <sheetFormatPr defaultRowHeight="15" x14ac:dyDescent="0.25"/>
  <cols>
    <col min="1" max="1" width="13.28515625" bestFit="1" customWidth="1"/>
    <col min="2" max="2" width="18.85546875" customWidth="1"/>
    <col min="3" max="3" width="19.140625" bestFit="1" customWidth="1"/>
    <col min="4" max="4" width="18.28515625" bestFit="1" customWidth="1"/>
    <col min="5" max="5" width="18.5703125" bestFit="1" customWidth="1"/>
  </cols>
  <sheetData>
    <row r="3" spans="1:5" x14ac:dyDescent="0.25">
      <c r="A3" s="1" t="s">
        <v>11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25">
      <c r="A4" s="2" t="s">
        <v>6</v>
      </c>
      <c r="B4" s="3">
        <v>1</v>
      </c>
      <c r="C4" s="3">
        <v>1.9</v>
      </c>
      <c r="D4" s="3">
        <v>0.1</v>
      </c>
      <c r="E4" s="3">
        <v>0.6</v>
      </c>
    </row>
    <row r="5" spans="1:5" x14ac:dyDescent="0.25">
      <c r="A5" s="2" t="s">
        <v>7</v>
      </c>
      <c r="B5" s="3">
        <v>3</v>
      </c>
      <c r="C5" s="3">
        <v>5.0999999999999996</v>
      </c>
      <c r="D5" s="3">
        <v>1</v>
      </c>
      <c r="E5" s="3">
        <v>1.8</v>
      </c>
    </row>
    <row r="6" spans="1:5" x14ac:dyDescent="0.25">
      <c r="A6" s="2" t="s">
        <v>8</v>
      </c>
      <c r="B6" s="3">
        <v>4.5</v>
      </c>
      <c r="C6" s="3">
        <v>6.9</v>
      </c>
      <c r="D6" s="3">
        <v>1.4</v>
      </c>
      <c r="E6" s="3">
        <v>2.5</v>
      </c>
    </row>
    <row r="7" spans="1:5" x14ac:dyDescent="0.25">
      <c r="A7" s="2" t="s">
        <v>12</v>
      </c>
      <c r="B7" s="3">
        <v>1</v>
      </c>
      <c r="C7" s="3">
        <v>6.9</v>
      </c>
      <c r="D7" s="3">
        <v>0.1</v>
      </c>
      <c r="E7" s="3">
        <v>2.5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46"/>
  <sheetViews>
    <sheetView tabSelected="1" topLeftCell="F126" workbookViewId="0">
      <selection activeCell="H145" sqref="H145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</v>
      </c>
      <c r="H1" t="s">
        <v>10</v>
      </c>
    </row>
    <row r="2" spans="1:8" x14ac:dyDescent="0.25">
      <c r="A2">
        <v>1</v>
      </c>
      <c r="B2">
        <v>5.0999999999999996</v>
      </c>
      <c r="C2">
        <v>3.5</v>
      </c>
      <c r="D2">
        <v>1.4</v>
      </c>
      <c r="E2">
        <v>0.2</v>
      </c>
      <c r="F2" t="s">
        <v>6</v>
      </c>
      <c r="G2">
        <f>IF(F2="Iris-setosa",1,IF(F2="Iris-versicolor",2,3))</f>
        <v>1</v>
      </c>
      <c r="H2">
        <f>IF(F2="Iris-setosa",3,IF(F2="Iris-versicolor",4,5))</f>
        <v>3</v>
      </c>
    </row>
    <row r="3" spans="1:8" x14ac:dyDescent="0.25">
      <c r="A3">
        <v>2</v>
      </c>
      <c r="B3">
        <v>4.9000000000000004</v>
      </c>
      <c r="C3">
        <v>3</v>
      </c>
      <c r="D3">
        <v>1.4</v>
      </c>
      <c r="E3">
        <v>0.2</v>
      </c>
      <c r="F3" t="s">
        <v>6</v>
      </c>
      <c r="G3">
        <f t="shared" ref="G3:G66" si="0">IF(F3="Iris-setosa",1,IF(F3="Iris-versicolor",2,3))</f>
        <v>1</v>
      </c>
      <c r="H3">
        <f t="shared" ref="H3:H66" si="1">IF(F3="Iris-setosa",3,IF(F3="Iris-versicolor",4,5))</f>
        <v>3</v>
      </c>
    </row>
    <row r="4" spans="1:8" x14ac:dyDescent="0.25">
      <c r="A4">
        <v>3</v>
      </c>
      <c r="B4">
        <v>4.7</v>
      </c>
      <c r="C4">
        <v>3.2</v>
      </c>
      <c r="D4">
        <v>1.3</v>
      </c>
      <c r="E4">
        <v>0.2</v>
      </c>
      <c r="F4" t="s">
        <v>6</v>
      </c>
      <c r="G4">
        <f t="shared" si="0"/>
        <v>1</v>
      </c>
      <c r="H4">
        <f t="shared" si="1"/>
        <v>3</v>
      </c>
    </row>
    <row r="5" spans="1:8" x14ac:dyDescent="0.25">
      <c r="A5">
        <v>4</v>
      </c>
      <c r="B5">
        <v>4.5999999999999996</v>
      </c>
      <c r="C5">
        <v>3.1</v>
      </c>
      <c r="D5">
        <v>1.5</v>
      </c>
      <c r="E5">
        <v>0.2</v>
      </c>
      <c r="F5" t="s">
        <v>6</v>
      </c>
      <c r="G5">
        <f t="shared" si="0"/>
        <v>1</v>
      </c>
      <c r="H5">
        <f t="shared" si="1"/>
        <v>3</v>
      </c>
    </row>
    <row r="6" spans="1:8" x14ac:dyDescent="0.25">
      <c r="A6">
        <v>5</v>
      </c>
      <c r="B6">
        <v>5</v>
      </c>
      <c r="C6">
        <v>3.6</v>
      </c>
      <c r="D6">
        <v>1.4</v>
      </c>
      <c r="E6">
        <v>0.2</v>
      </c>
      <c r="F6" t="s">
        <v>6</v>
      </c>
      <c r="G6">
        <f t="shared" si="0"/>
        <v>1</v>
      </c>
      <c r="H6">
        <f t="shared" si="1"/>
        <v>3</v>
      </c>
    </row>
    <row r="7" spans="1:8" x14ac:dyDescent="0.25">
      <c r="A7">
        <v>6</v>
      </c>
      <c r="B7">
        <v>5.4</v>
      </c>
      <c r="C7">
        <v>3.9</v>
      </c>
      <c r="D7">
        <v>1.7</v>
      </c>
      <c r="E7">
        <v>0.4</v>
      </c>
      <c r="F7" t="s">
        <v>6</v>
      </c>
      <c r="G7">
        <f t="shared" si="0"/>
        <v>1</v>
      </c>
      <c r="H7">
        <f t="shared" si="1"/>
        <v>3</v>
      </c>
    </row>
    <row r="8" spans="1:8" x14ac:dyDescent="0.25">
      <c r="A8">
        <v>7</v>
      </c>
      <c r="B8">
        <v>4.5999999999999996</v>
      </c>
      <c r="C8">
        <v>3.4</v>
      </c>
      <c r="D8">
        <v>1.4</v>
      </c>
      <c r="E8">
        <v>0.3</v>
      </c>
      <c r="F8" t="s">
        <v>6</v>
      </c>
      <c r="G8">
        <f t="shared" si="0"/>
        <v>1</v>
      </c>
      <c r="H8">
        <f t="shared" si="1"/>
        <v>3</v>
      </c>
    </row>
    <row r="9" spans="1:8" x14ac:dyDescent="0.25">
      <c r="A9">
        <v>8</v>
      </c>
      <c r="B9">
        <v>5</v>
      </c>
      <c r="C9">
        <v>3.4</v>
      </c>
      <c r="D9">
        <v>1.5</v>
      </c>
      <c r="E9">
        <v>0.2</v>
      </c>
      <c r="F9" t="s">
        <v>6</v>
      </c>
      <c r="G9">
        <f t="shared" si="0"/>
        <v>1</v>
      </c>
      <c r="H9">
        <f t="shared" si="1"/>
        <v>3</v>
      </c>
    </row>
    <row r="10" spans="1:8" x14ac:dyDescent="0.25">
      <c r="A10">
        <v>9</v>
      </c>
      <c r="B10">
        <v>4.4000000000000004</v>
      </c>
      <c r="C10">
        <v>2.9</v>
      </c>
      <c r="D10">
        <v>1.4</v>
      </c>
      <c r="E10">
        <v>0.2</v>
      </c>
      <c r="F10" t="s">
        <v>6</v>
      </c>
      <c r="G10">
        <f t="shared" si="0"/>
        <v>1</v>
      </c>
      <c r="H10">
        <f t="shared" si="1"/>
        <v>3</v>
      </c>
    </row>
    <row r="11" spans="1:8" x14ac:dyDescent="0.25">
      <c r="A11">
        <v>10</v>
      </c>
      <c r="B11">
        <v>4.9000000000000004</v>
      </c>
      <c r="C11">
        <v>3.1</v>
      </c>
      <c r="D11">
        <v>1.5</v>
      </c>
      <c r="E11">
        <v>0.1</v>
      </c>
      <c r="F11" t="s">
        <v>6</v>
      </c>
      <c r="G11">
        <f t="shared" si="0"/>
        <v>1</v>
      </c>
      <c r="H11">
        <f t="shared" si="1"/>
        <v>3</v>
      </c>
    </row>
    <row r="12" spans="1:8" x14ac:dyDescent="0.25">
      <c r="A12">
        <v>11</v>
      </c>
      <c r="B12">
        <v>5.4</v>
      </c>
      <c r="C12">
        <v>3.7</v>
      </c>
      <c r="D12">
        <v>1.5</v>
      </c>
      <c r="E12">
        <v>0.2</v>
      </c>
      <c r="F12" t="s">
        <v>6</v>
      </c>
      <c r="G12">
        <f t="shared" si="0"/>
        <v>1</v>
      </c>
      <c r="H12">
        <f t="shared" si="1"/>
        <v>3</v>
      </c>
    </row>
    <row r="13" spans="1:8" x14ac:dyDescent="0.25">
      <c r="A13">
        <v>12</v>
      </c>
      <c r="B13">
        <v>4.8</v>
      </c>
      <c r="C13">
        <v>3.4</v>
      </c>
      <c r="D13">
        <v>1.6</v>
      </c>
      <c r="E13">
        <v>0.2</v>
      </c>
      <c r="F13" t="s">
        <v>6</v>
      </c>
      <c r="G13">
        <f t="shared" si="0"/>
        <v>1</v>
      </c>
      <c r="H13">
        <f t="shared" si="1"/>
        <v>3</v>
      </c>
    </row>
    <row r="14" spans="1:8" x14ac:dyDescent="0.25">
      <c r="A14">
        <v>13</v>
      </c>
      <c r="B14">
        <v>4.8</v>
      </c>
      <c r="C14">
        <v>3</v>
      </c>
      <c r="D14">
        <v>1.4</v>
      </c>
      <c r="E14">
        <v>0.1</v>
      </c>
      <c r="F14" t="s">
        <v>6</v>
      </c>
      <c r="G14">
        <f t="shared" si="0"/>
        <v>1</v>
      </c>
      <c r="H14">
        <f t="shared" si="1"/>
        <v>3</v>
      </c>
    </row>
    <row r="15" spans="1:8" x14ac:dyDescent="0.25">
      <c r="A15">
        <v>14</v>
      </c>
      <c r="B15">
        <v>4.3</v>
      </c>
      <c r="C15">
        <v>3</v>
      </c>
      <c r="D15">
        <v>1.1000000000000001</v>
      </c>
      <c r="E15">
        <v>0.1</v>
      </c>
      <c r="F15" t="s">
        <v>6</v>
      </c>
      <c r="G15">
        <f t="shared" si="0"/>
        <v>1</v>
      </c>
      <c r="H15">
        <f t="shared" si="1"/>
        <v>3</v>
      </c>
    </row>
    <row r="16" spans="1:8" x14ac:dyDescent="0.25">
      <c r="A16">
        <v>15</v>
      </c>
      <c r="B16">
        <v>5.8</v>
      </c>
      <c r="C16">
        <v>4</v>
      </c>
      <c r="D16">
        <v>1.2</v>
      </c>
      <c r="E16">
        <v>0.2</v>
      </c>
      <c r="F16" t="s">
        <v>6</v>
      </c>
      <c r="G16">
        <f t="shared" si="0"/>
        <v>1</v>
      </c>
      <c r="H16">
        <f t="shared" si="1"/>
        <v>3</v>
      </c>
    </row>
    <row r="17" spans="1:8" x14ac:dyDescent="0.25">
      <c r="A17">
        <v>16</v>
      </c>
      <c r="B17">
        <v>5.7</v>
      </c>
      <c r="C17">
        <v>4.4000000000000004</v>
      </c>
      <c r="D17">
        <v>1.5</v>
      </c>
      <c r="E17">
        <v>0.4</v>
      </c>
      <c r="F17" t="s">
        <v>6</v>
      </c>
      <c r="G17">
        <f t="shared" si="0"/>
        <v>1</v>
      </c>
      <c r="H17">
        <f t="shared" si="1"/>
        <v>3</v>
      </c>
    </row>
    <row r="18" spans="1:8" x14ac:dyDescent="0.25">
      <c r="A18">
        <v>17</v>
      </c>
      <c r="B18">
        <v>5.4</v>
      </c>
      <c r="C18">
        <v>3.9</v>
      </c>
      <c r="D18">
        <v>1.3</v>
      </c>
      <c r="E18">
        <v>0.4</v>
      </c>
      <c r="F18" t="s">
        <v>6</v>
      </c>
      <c r="G18">
        <f t="shared" si="0"/>
        <v>1</v>
      </c>
      <c r="H18">
        <f t="shared" si="1"/>
        <v>3</v>
      </c>
    </row>
    <row r="19" spans="1:8" x14ac:dyDescent="0.25">
      <c r="A19">
        <v>18</v>
      </c>
      <c r="B19">
        <v>5.0999999999999996</v>
      </c>
      <c r="C19">
        <v>3.5</v>
      </c>
      <c r="D19">
        <v>1.4</v>
      </c>
      <c r="E19">
        <v>0.3</v>
      </c>
      <c r="F19" t="s">
        <v>6</v>
      </c>
      <c r="G19">
        <f t="shared" si="0"/>
        <v>1</v>
      </c>
      <c r="H19">
        <f t="shared" si="1"/>
        <v>3</v>
      </c>
    </row>
    <row r="20" spans="1:8" x14ac:dyDescent="0.25">
      <c r="A20">
        <v>19</v>
      </c>
      <c r="B20">
        <v>5.7</v>
      </c>
      <c r="C20">
        <v>3.8</v>
      </c>
      <c r="D20">
        <v>1.7</v>
      </c>
      <c r="E20">
        <v>0.3</v>
      </c>
      <c r="F20" t="s">
        <v>6</v>
      </c>
      <c r="G20">
        <f t="shared" si="0"/>
        <v>1</v>
      </c>
      <c r="H20">
        <f t="shared" si="1"/>
        <v>3</v>
      </c>
    </row>
    <row r="21" spans="1:8" x14ac:dyDescent="0.25">
      <c r="A21">
        <v>20</v>
      </c>
      <c r="B21">
        <v>5.0999999999999996</v>
      </c>
      <c r="C21">
        <v>3.8</v>
      </c>
      <c r="D21">
        <v>1.5</v>
      </c>
      <c r="E21">
        <v>0.3</v>
      </c>
      <c r="F21" t="s">
        <v>6</v>
      </c>
      <c r="G21">
        <f t="shared" si="0"/>
        <v>1</v>
      </c>
      <c r="H21">
        <f t="shared" si="1"/>
        <v>3</v>
      </c>
    </row>
    <row r="22" spans="1:8" x14ac:dyDescent="0.25">
      <c r="A22">
        <v>21</v>
      </c>
      <c r="B22">
        <v>5.4</v>
      </c>
      <c r="C22">
        <v>3.4</v>
      </c>
      <c r="D22">
        <v>1.7</v>
      </c>
      <c r="E22">
        <v>0.2</v>
      </c>
      <c r="F22" t="s">
        <v>6</v>
      </c>
      <c r="G22">
        <f t="shared" si="0"/>
        <v>1</v>
      </c>
      <c r="H22">
        <f t="shared" si="1"/>
        <v>3</v>
      </c>
    </row>
    <row r="23" spans="1:8" x14ac:dyDescent="0.25">
      <c r="A23">
        <v>22</v>
      </c>
      <c r="B23">
        <v>5.0999999999999996</v>
      </c>
      <c r="C23">
        <v>3.7</v>
      </c>
      <c r="D23">
        <v>1.5</v>
      </c>
      <c r="E23">
        <v>0.4</v>
      </c>
      <c r="F23" t="s">
        <v>6</v>
      </c>
      <c r="G23">
        <f t="shared" si="0"/>
        <v>1</v>
      </c>
      <c r="H23">
        <f t="shared" si="1"/>
        <v>3</v>
      </c>
    </row>
    <row r="24" spans="1:8" x14ac:dyDescent="0.25">
      <c r="A24">
        <v>23</v>
      </c>
      <c r="B24">
        <v>4.5999999999999996</v>
      </c>
      <c r="C24">
        <v>3.6</v>
      </c>
      <c r="D24">
        <v>1</v>
      </c>
      <c r="E24">
        <v>0.2</v>
      </c>
      <c r="F24" t="s">
        <v>6</v>
      </c>
      <c r="G24">
        <f t="shared" si="0"/>
        <v>1</v>
      </c>
      <c r="H24">
        <f t="shared" si="1"/>
        <v>3</v>
      </c>
    </row>
    <row r="25" spans="1:8" x14ac:dyDescent="0.25">
      <c r="A25">
        <v>24</v>
      </c>
      <c r="B25">
        <v>5.0999999999999996</v>
      </c>
      <c r="C25">
        <v>3.3</v>
      </c>
      <c r="D25">
        <v>1.7</v>
      </c>
      <c r="E25">
        <v>0.5</v>
      </c>
      <c r="F25" t="s">
        <v>6</v>
      </c>
      <c r="G25">
        <f t="shared" si="0"/>
        <v>1</v>
      </c>
      <c r="H25">
        <f t="shared" si="1"/>
        <v>3</v>
      </c>
    </row>
    <row r="26" spans="1:8" x14ac:dyDescent="0.25">
      <c r="A26">
        <v>25</v>
      </c>
      <c r="B26">
        <v>4.8</v>
      </c>
      <c r="C26">
        <v>3.4</v>
      </c>
      <c r="D26">
        <v>1.9</v>
      </c>
      <c r="E26">
        <v>0.2</v>
      </c>
      <c r="F26" t="s">
        <v>6</v>
      </c>
      <c r="G26">
        <f t="shared" si="0"/>
        <v>1</v>
      </c>
      <c r="H26">
        <f t="shared" si="1"/>
        <v>3</v>
      </c>
    </row>
    <row r="27" spans="1:8" x14ac:dyDescent="0.25">
      <c r="A27">
        <v>26</v>
      </c>
      <c r="B27">
        <v>5</v>
      </c>
      <c r="C27">
        <v>3</v>
      </c>
      <c r="D27">
        <v>1.6</v>
      </c>
      <c r="E27">
        <v>0.2</v>
      </c>
      <c r="F27" t="s">
        <v>6</v>
      </c>
      <c r="G27">
        <f t="shared" si="0"/>
        <v>1</v>
      </c>
      <c r="H27">
        <f t="shared" si="1"/>
        <v>3</v>
      </c>
    </row>
    <row r="28" spans="1:8" x14ac:dyDescent="0.25">
      <c r="A28">
        <v>27</v>
      </c>
      <c r="B28">
        <v>5</v>
      </c>
      <c r="C28">
        <v>3.4</v>
      </c>
      <c r="D28">
        <v>1.6</v>
      </c>
      <c r="E28">
        <v>0.4</v>
      </c>
      <c r="F28" t="s">
        <v>6</v>
      </c>
      <c r="G28">
        <f t="shared" si="0"/>
        <v>1</v>
      </c>
      <c r="H28">
        <f t="shared" si="1"/>
        <v>3</v>
      </c>
    </row>
    <row r="29" spans="1:8" x14ac:dyDescent="0.25">
      <c r="A29">
        <v>28</v>
      </c>
      <c r="B29">
        <v>5.2</v>
      </c>
      <c r="C29">
        <v>3.5</v>
      </c>
      <c r="D29">
        <v>1.5</v>
      </c>
      <c r="E29">
        <v>0.2</v>
      </c>
      <c r="F29" t="s">
        <v>6</v>
      </c>
      <c r="G29">
        <f t="shared" si="0"/>
        <v>1</v>
      </c>
      <c r="H29">
        <f t="shared" si="1"/>
        <v>3</v>
      </c>
    </row>
    <row r="30" spans="1:8" x14ac:dyDescent="0.25">
      <c r="A30">
        <v>29</v>
      </c>
      <c r="B30">
        <v>5.2</v>
      </c>
      <c r="C30">
        <v>3.4</v>
      </c>
      <c r="D30">
        <v>1.4</v>
      </c>
      <c r="E30">
        <v>0.2</v>
      </c>
      <c r="F30" t="s">
        <v>6</v>
      </c>
      <c r="G30">
        <f t="shared" si="0"/>
        <v>1</v>
      </c>
      <c r="H30">
        <f t="shared" si="1"/>
        <v>3</v>
      </c>
    </row>
    <row r="31" spans="1:8" x14ac:dyDescent="0.25">
      <c r="A31">
        <v>30</v>
      </c>
      <c r="B31">
        <v>4.7</v>
      </c>
      <c r="C31">
        <v>3.2</v>
      </c>
      <c r="D31">
        <v>1.6</v>
      </c>
      <c r="E31">
        <v>0.2</v>
      </c>
      <c r="F31" t="s">
        <v>6</v>
      </c>
      <c r="G31">
        <f t="shared" si="0"/>
        <v>1</v>
      </c>
      <c r="H31">
        <f t="shared" si="1"/>
        <v>3</v>
      </c>
    </row>
    <row r="32" spans="1:8" x14ac:dyDescent="0.25">
      <c r="A32">
        <v>31</v>
      </c>
      <c r="B32">
        <v>4.8</v>
      </c>
      <c r="C32">
        <v>3.1</v>
      </c>
      <c r="D32">
        <v>1.6</v>
      </c>
      <c r="E32">
        <v>0.2</v>
      </c>
      <c r="F32" t="s">
        <v>6</v>
      </c>
      <c r="G32">
        <f t="shared" si="0"/>
        <v>1</v>
      </c>
      <c r="H32">
        <f t="shared" si="1"/>
        <v>3</v>
      </c>
    </row>
    <row r="33" spans="1:8" x14ac:dyDescent="0.25">
      <c r="A33">
        <v>32</v>
      </c>
      <c r="B33">
        <v>5.4</v>
      </c>
      <c r="C33">
        <v>3.4</v>
      </c>
      <c r="D33">
        <v>1.5</v>
      </c>
      <c r="E33">
        <v>0.4</v>
      </c>
      <c r="F33" t="s">
        <v>6</v>
      </c>
      <c r="G33">
        <f t="shared" si="0"/>
        <v>1</v>
      </c>
      <c r="H33">
        <f t="shared" si="1"/>
        <v>3</v>
      </c>
    </row>
    <row r="34" spans="1:8" x14ac:dyDescent="0.25">
      <c r="A34">
        <v>33</v>
      </c>
      <c r="B34">
        <v>5.2</v>
      </c>
      <c r="C34">
        <v>4.0999999999999996</v>
      </c>
      <c r="D34">
        <v>1.5</v>
      </c>
      <c r="E34">
        <v>0.1</v>
      </c>
      <c r="F34" t="s">
        <v>6</v>
      </c>
      <c r="G34">
        <f t="shared" si="0"/>
        <v>1</v>
      </c>
      <c r="H34">
        <f t="shared" si="1"/>
        <v>3</v>
      </c>
    </row>
    <row r="35" spans="1:8" x14ac:dyDescent="0.25">
      <c r="A35">
        <v>34</v>
      </c>
      <c r="B35">
        <v>5.5</v>
      </c>
      <c r="C35">
        <v>4.2</v>
      </c>
      <c r="D35">
        <v>1.4</v>
      </c>
      <c r="E35">
        <v>0.2</v>
      </c>
      <c r="F35" t="s">
        <v>6</v>
      </c>
      <c r="G35">
        <f t="shared" si="0"/>
        <v>1</v>
      </c>
      <c r="H35">
        <f t="shared" si="1"/>
        <v>3</v>
      </c>
    </row>
    <row r="36" spans="1:8" x14ac:dyDescent="0.25">
      <c r="A36">
        <v>35</v>
      </c>
      <c r="B36">
        <v>4.9000000000000004</v>
      </c>
      <c r="C36">
        <v>3.1</v>
      </c>
      <c r="D36">
        <v>1.5</v>
      </c>
      <c r="E36">
        <v>0.1</v>
      </c>
      <c r="F36" t="s">
        <v>6</v>
      </c>
      <c r="G36">
        <f t="shared" si="0"/>
        <v>1</v>
      </c>
      <c r="H36">
        <f t="shared" si="1"/>
        <v>3</v>
      </c>
    </row>
    <row r="37" spans="1:8" x14ac:dyDescent="0.25">
      <c r="A37">
        <v>36</v>
      </c>
      <c r="B37">
        <v>5</v>
      </c>
      <c r="C37">
        <v>3.2</v>
      </c>
      <c r="D37">
        <v>1.2</v>
      </c>
      <c r="E37">
        <v>0.2</v>
      </c>
      <c r="F37" t="s">
        <v>6</v>
      </c>
      <c r="G37">
        <f t="shared" si="0"/>
        <v>1</v>
      </c>
      <c r="H37">
        <f t="shared" si="1"/>
        <v>3</v>
      </c>
    </row>
    <row r="38" spans="1:8" x14ac:dyDescent="0.25">
      <c r="A38">
        <v>37</v>
      </c>
      <c r="B38">
        <v>5.5</v>
      </c>
      <c r="C38">
        <v>3.5</v>
      </c>
      <c r="D38">
        <v>1.3</v>
      </c>
      <c r="E38">
        <v>0.2</v>
      </c>
      <c r="F38" t="s">
        <v>6</v>
      </c>
      <c r="G38">
        <f t="shared" si="0"/>
        <v>1</v>
      </c>
      <c r="H38">
        <f t="shared" si="1"/>
        <v>3</v>
      </c>
    </row>
    <row r="39" spans="1:8" x14ac:dyDescent="0.25">
      <c r="A39">
        <v>38</v>
      </c>
      <c r="B39">
        <v>4.9000000000000004</v>
      </c>
      <c r="C39">
        <v>3.1</v>
      </c>
      <c r="D39">
        <v>1.5</v>
      </c>
      <c r="E39">
        <v>0.1</v>
      </c>
      <c r="F39" t="s">
        <v>6</v>
      </c>
      <c r="G39">
        <f t="shared" si="0"/>
        <v>1</v>
      </c>
      <c r="H39">
        <f t="shared" si="1"/>
        <v>3</v>
      </c>
    </row>
    <row r="40" spans="1:8" x14ac:dyDescent="0.25">
      <c r="A40">
        <v>39</v>
      </c>
      <c r="B40">
        <v>4.4000000000000004</v>
      </c>
      <c r="C40">
        <v>3</v>
      </c>
      <c r="D40">
        <v>1.3</v>
      </c>
      <c r="E40">
        <v>0.2</v>
      </c>
      <c r="F40" t="s">
        <v>6</v>
      </c>
      <c r="G40">
        <f t="shared" si="0"/>
        <v>1</v>
      </c>
      <c r="H40">
        <f t="shared" si="1"/>
        <v>3</v>
      </c>
    </row>
    <row r="41" spans="1:8" x14ac:dyDescent="0.25">
      <c r="A41">
        <v>40</v>
      </c>
      <c r="B41">
        <v>5.0999999999999996</v>
      </c>
      <c r="C41">
        <v>3.4</v>
      </c>
      <c r="D41">
        <v>1.5</v>
      </c>
      <c r="E41">
        <v>0.2</v>
      </c>
      <c r="F41" t="s">
        <v>6</v>
      </c>
      <c r="G41">
        <f t="shared" si="0"/>
        <v>1</v>
      </c>
      <c r="H41">
        <f t="shared" si="1"/>
        <v>3</v>
      </c>
    </row>
    <row r="42" spans="1:8" x14ac:dyDescent="0.25">
      <c r="A42">
        <v>41</v>
      </c>
      <c r="B42">
        <v>5</v>
      </c>
      <c r="C42">
        <v>3.5</v>
      </c>
      <c r="D42">
        <v>1.3</v>
      </c>
      <c r="E42">
        <v>0.3</v>
      </c>
      <c r="F42" t="s">
        <v>6</v>
      </c>
      <c r="G42">
        <f t="shared" si="0"/>
        <v>1</v>
      </c>
      <c r="H42">
        <f t="shared" si="1"/>
        <v>3</v>
      </c>
    </row>
    <row r="43" spans="1:8" x14ac:dyDescent="0.25">
      <c r="A43">
        <v>42</v>
      </c>
      <c r="B43">
        <v>4.5</v>
      </c>
      <c r="C43">
        <v>2.2999999999999998</v>
      </c>
      <c r="D43">
        <v>1.3</v>
      </c>
      <c r="E43">
        <v>0.3</v>
      </c>
      <c r="F43" t="s">
        <v>6</v>
      </c>
      <c r="G43">
        <f t="shared" si="0"/>
        <v>1</v>
      </c>
      <c r="H43">
        <f t="shared" si="1"/>
        <v>3</v>
      </c>
    </row>
    <row r="44" spans="1:8" x14ac:dyDescent="0.25">
      <c r="A44">
        <v>43</v>
      </c>
      <c r="B44">
        <v>4.4000000000000004</v>
      </c>
      <c r="C44">
        <v>3.2</v>
      </c>
      <c r="D44">
        <v>1.3</v>
      </c>
      <c r="E44">
        <v>0.2</v>
      </c>
      <c r="F44" t="s">
        <v>6</v>
      </c>
      <c r="G44">
        <f t="shared" si="0"/>
        <v>1</v>
      </c>
      <c r="H44">
        <f t="shared" si="1"/>
        <v>3</v>
      </c>
    </row>
    <row r="45" spans="1:8" x14ac:dyDescent="0.25">
      <c r="A45">
        <v>44</v>
      </c>
      <c r="B45">
        <v>5</v>
      </c>
      <c r="C45">
        <v>3.5</v>
      </c>
      <c r="D45">
        <v>1.6</v>
      </c>
      <c r="E45">
        <v>0.6</v>
      </c>
      <c r="F45" t="s">
        <v>6</v>
      </c>
      <c r="G45">
        <f t="shared" si="0"/>
        <v>1</v>
      </c>
      <c r="H45">
        <f t="shared" si="1"/>
        <v>3</v>
      </c>
    </row>
    <row r="46" spans="1:8" x14ac:dyDescent="0.25">
      <c r="A46">
        <v>45</v>
      </c>
      <c r="B46">
        <v>5.0999999999999996</v>
      </c>
      <c r="C46">
        <v>3.8</v>
      </c>
      <c r="D46">
        <v>1.9</v>
      </c>
      <c r="E46">
        <v>0.4</v>
      </c>
      <c r="F46" t="s">
        <v>6</v>
      </c>
      <c r="G46">
        <f t="shared" si="0"/>
        <v>1</v>
      </c>
      <c r="H46">
        <f t="shared" si="1"/>
        <v>3</v>
      </c>
    </row>
    <row r="47" spans="1:8" x14ac:dyDescent="0.25">
      <c r="A47">
        <v>46</v>
      </c>
      <c r="B47">
        <v>4.8</v>
      </c>
      <c r="C47">
        <v>3</v>
      </c>
      <c r="D47">
        <v>1.4</v>
      </c>
      <c r="E47">
        <v>0.3</v>
      </c>
      <c r="F47" t="s">
        <v>6</v>
      </c>
      <c r="G47">
        <f t="shared" si="0"/>
        <v>1</v>
      </c>
      <c r="H47">
        <f t="shared" si="1"/>
        <v>3</v>
      </c>
    </row>
    <row r="48" spans="1:8" x14ac:dyDescent="0.25">
      <c r="A48">
        <v>47</v>
      </c>
      <c r="B48">
        <v>5.0999999999999996</v>
      </c>
      <c r="C48">
        <v>3.8</v>
      </c>
      <c r="D48">
        <v>1.6</v>
      </c>
      <c r="E48">
        <v>0.2</v>
      </c>
      <c r="F48" t="s">
        <v>6</v>
      </c>
      <c r="G48">
        <f t="shared" si="0"/>
        <v>1</v>
      </c>
      <c r="H48">
        <f t="shared" si="1"/>
        <v>3</v>
      </c>
    </row>
    <row r="49" spans="1:8" x14ac:dyDescent="0.25">
      <c r="A49">
        <v>48</v>
      </c>
      <c r="B49">
        <v>4.5999999999999996</v>
      </c>
      <c r="C49">
        <v>3.2</v>
      </c>
      <c r="D49">
        <v>1.4</v>
      </c>
      <c r="E49">
        <v>0.2</v>
      </c>
      <c r="F49" t="s">
        <v>6</v>
      </c>
      <c r="G49">
        <f t="shared" si="0"/>
        <v>1</v>
      </c>
      <c r="H49">
        <f t="shared" si="1"/>
        <v>3</v>
      </c>
    </row>
    <row r="50" spans="1:8" x14ac:dyDescent="0.25">
      <c r="A50">
        <v>49</v>
      </c>
      <c r="B50">
        <v>5.3</v>
      </c>
      <c r="C50">
        <v>3.7</v>
      </c>
      <c r="D50">
        <v>1.5</v>
      </c>
      <c r="E50">
        <v>0.2</v>
      </c>
      <c r="F50" t="s">
        <v>6</v>
      </c>
      <c r="G50">
        <f t="shared" si="0"/>
        <v>1</v>
      </c>
      <c r="H50">
        <f t="shared" si="1"/>
        <v>3</v>
      </c>
    </row>
    <row r="51" spans="1:8" x14ac:dyDescent="0.25">
      <c r="A51">
        <v>50</v>
      </c>
      <c r="B51">
        <v>5</v>
      </c>
      <c r="C51">
        <v>3.3</v>
      </c>
      <c r="D51">
        <v>1.4</v>
      </c>
      <c r="E51">
        <v>0.2</v>
      </c>
      <c r="F51" t="s">
        <v>6</v>
      </c>
      <c r="G51">
        <f t="shared" si="0"/>
        <v>1</v>
      </c>
      <c r="H51">
        <f t="shared" si="1"/>
        <v>3</v>
      </c>
    </row>
    <row r="52" spans="1:8" x14ac:dyDescent="0.25">
      <c r="A52">
        <v>51</v>
      </c>
      <c r="B52">
        <v>7</v>
      </c>
      <c r="C52">
        <v>3.2</v>
      </c>
      <c r="D52">
        <v>4.7</v>
      </c>
      <c r="E52">
        <v>1.4</v>
      </c>
      <c r="F52" t="s">
        <v>7</v>
      </c>
      <c r="G52">
        <f t="shared" si="0"/>
        <v>2</v>
      </c>
      <c r="H52">
        <f t="shared" si="1"/>
        <v>4</v>
      </c>
    </row>
    <row r="53" spans="1:8" x14ac:dyDescent="0.25">
      <c r="A53">
        <v>52</v>
      </c>
      <c r="B53">
        <v>6.4</v>
      </c>
      <c r="C53">
        <v>3.2</v>
      </c>
      <c r="D53">
        <v>4.5</v>
      </c>
      <c r="E53">
        <v>1.5</v>
      </c>
      <c r="F53" t="s">
        <v>7</v>
      </c>
      <c r="G53">
        <f t="shared" si="0"/>
        <v>2</v>
      </c>
      <c r="H53">
        <f t="shared" si="1"/>
        <v>4</v>
      </c>
    </row>
    <row r="54" spans="1:8" x14ac:dyDescent="0.25">
      <c r="A54">
        <v>53</v>
      </c>
      <c r="B54">
        <v>6.9</v>
      </c>
      <c r="C54">
        <v>3.1</v>
      </c>
      <c r="D54">
        <v>4.9000000000000004</v>
      </c>
      <c r="E54">
        <v>1.5</v>
      </c>
      <c r="F54" t="s">
        <v>7</v>
      </c>
      <c r="G54">
        <f t="shared" si="0"/>
        <v>2</v>
      </c>
      <c r="H54">
        <f t="shared" si="1"/>
        <v>4</v>
      </c>
    </row>
    <row r="55" spans="1:8" x14ac:dyDescent="0.25">
      <c r="A55">
        <v>54</v>
      </c>
      <c r="B55">
        <v>5.5</v>
      </c>
      <c r="C55">
        <v>2.2999999999999998</v>
      </c>
      <c r="D55">
        <v>4</v>
      </c>
      <c r="E55">
        <v>1.3</v>
      </c>
      <c r="F55" t="s">
        <v>7</v>
      </c>
      <c r="G55">
        <f t="shared" si="0"/>
        <v>2</v>
      </c>
      <c r="H55">
        <f t="shared" si="1"/>
        <v>4</v>
      </c>
    </row>
    <row r="56" spans="1:8" x14ac:dyDescent="0.25">
      <c r="A56">
        <v>55</v>
      </c>
      <c r="B56">
        <v>6.5</v>
      </c>
      <c r="C56">
        <v>2.8</v>
      </c>
      <c r="D56">
        <v>4.5999999999999996</v>
      </c>
      <c r="E56">
        <v>1.5</v>
      </c>
      <c r="F56" t="s">
        <v>7</v>
      </c>
      <c r="G56">
        <f t="shared" si="0"/>
        <v>2</v>
      </c>
      <c r="H56">
        <f t="shared" si="1"/>
        <v>4</v>
      </c>
    </row>
    <row r="57" spans="1:8" x14ac:dyDescent="0.25">
      <c r="A57">
        <v>56</v>
      </c>
      <c r="B57">
        <v>5.7</v>
      </c>
      <c r="C57">
        <v>2.8</v>
      </c>
      <c r="D57">
        <v>4.5</v>
      </c>
      <c r="E57">
        <v>1.3</v>
      </c>
      <c r="F57" t="s">
        <v>7</v>
      </c>
      <c r="G57">
        <f t="shared" si="0"/>
        <v>2</v>
      </c>
      <c r="H57">
        <f t="shared" si="1"/>
        <v>4</v>
      </c>
    </row>
    <row r="58" spans="1:8" x14ac:dyDescent="0.25">
      <c r="A58">
        <v>57</v>
      </c>
      <c r="B58">
        <v>6.3</v>
      </c>
      <c r="C58">
        <v>3.3</v>
      </c>
      <c r="D58">
        <v>4.7</v>
      </c>
      <c r="E58">
        <v>1.6</v>
      </c>
      <c r="F58" t="s">
        <v>7</v>
      </c>
      <c r="G58">
        <f t="shared" si="0"/>
        <v>2</v>
      </c>
      <c r="H58">
        <f t="shared" si="1"/>
        <v>4</v>
      </c>
    </row>
    <row r="59" spans="1:8" x14ac:dyDescent="0.25">
      <c r="A59">
        <v>58</v>
      </c>
      <c r="B59">
        <v>4.9000000000000004</v>
      </c>
      <c r="C59">
        <v>2.4</v>
      </c>
      <c r="D59">
        <v>3.3</v>
      </c>
      <c r="E59">
        <v>1</v>
      </c>
      <c r="F59" t="s">
        <v>7</v>
      </c>
      <c r="G59">
        <f t="shared" si="0"/>
        <v>2</v>
      </c>
      <c r="H59">
        <f t="shared" si="1"/>
        <v>4</v>
      </c>
    </row>
    <row r="60" spans="1:8" x14ac:dyDescent="0.25">
      <c r="A60">
        <v>59</v>
      </c>
      <c r="B60">
        <v>6.6</v>
      </c>
      <c r="C60">
        <v>2.9</v>
      </c>
      <c r="D60">
        <v>4.5999999999999996</v>
      </c>
      <c r="E60">
        <v>1.3</v>
      </c>
      <c r="F60" t="s">
        <v>7</v>
      </c>
      <c r="G60">
        <f t="shared" si="0"/>
        <v>2</v>
      </c>
      <c r="H60">
        <f t="shared" si="1"/>
        <v>4</v>
      </c>
    </row>
    <row r="61" spans="1:8" x14ac:dyDescent="0.25">
      <c r="A61">
        <v>60</v>
      </c>
      <c r="B61">
        <v>5.2</v>
      </c>
      <c r="C61">
        <v>2.7</v>
      </c>
      <c r="D61">
        <v>3.9</v>
      </c>
      <c r="E61">
        <v>1.4</v>
      </c>
      <c r="F61" t="s">
        <v>7</v>
      </c>
      <c r="G61">
        <f t="shared" si="0"/>
        <v>2</v>
      </c>
      <c r="H61">
        <f t="shared" si="1"/>
        <v>4</v>
      </c>
    </row>
    <row r="62" spans="1:8" x14ac:dyDescent="0.25">
      <c r="A62">
        <v>61</v>
      </c>
      <c r="B62">
        <v>5</v>
      </c>
      <c r="C62">
        <v>2</v>
      </c>
      <c r="D62">
        <v>3.5</v>
      </c>
      <c r="E62">
        <v>1</v>
      </c>
      <c r="F62" t="s">
        <v>7</v>
      </c>
      <c r="G62">
        <f t="shared" si="0"/>
        <v>2</v>
      </c>
      <c r="H62">
        <f t="shared" si="1"/>
        <v>4</v>
      </c>
    </row>
    <row r="63" spans="1:8" x14ac:dyDescent="0.25">
      <c r="A63">
        <v>62</v>
      </c>
      <c r="B63">
        <v>5.9</v>
      </c>
      <c r="C63">
        <v>3</v>
      </c>
      <c r="D63">
        <v>4.2</v>
      </c>
      <c r="E63">
        <v>1.5</v>
      </c>
      <c r="F63" t="s">
        <v>7</v>
      </c>
      <c r="G63">
        <f t="shared" si="0"/>
        <v>2</v>
      </c>
      <c r="H63">
        <f t="shared" si="1"/>
        <v>4</v>
      </c>
    </row>
    <row r="64" spans="1:8" x14ac:dyDescent="0.25">
      <c r="A64">
        <v>63</v>
      </c>
      <c r="B64">
        <v>6</v>
      </c>
      <c r="C64">
        <v>2.2000000000000002</v>
      </c>
      <c r="D64">
        <v>4</v>
      </c>
      <c r="E64">
        <v>1</v>
      </c>
      <c r="F64" t="s">
        <v>7</v>
      </c>
      <c r="G64">
        <f t="shared" si="0"/>
        <v>2</v>
      </c>
      <c r="H64">
        <f t="shared" si="1"/>
        <v>4</v>
      </c>
    </row>
    <row r="65" spans="1:8" x14ac:dyDescent="0.25">
      <c r="A65">
        <v>64</v>
      </c>
      <c r="B65">
        <v>6.1</v>
      </c>
      <c r="C65">
        <v>2.9</v>
      </c>
      <c r="D65">
        <v>4.7</v>
      </c>
      <c r="E65">
        <v>1.4</v>
      </c>
      <c r="F65" t="s">
        <v>7</v>
      </c>
      <c r="G65">
        <f t="shared" si="0"/>
        <v>2</v>
      </c>
      <c r="H65">
        <f t="shared" si="1"/>
        <v>4</v>
      </c>
    </row>
    <row r="66" spans="1:8" x14ac:dyDescent="0.25">
      <c r="A66">
        <v>65</v>
      </c>
      <c r="B66">
        <v>5.6</v>
      </c>
      <c r="C66">
        <v>2.9</v>
      </c>
      <c r="D66">
        <v>3.6</v>
      </c>
      <c r="E66">
        <v>1.3</v>
      </c>
      <c r="F66" t="s">
        <v>7</v>
      </c>
      <c r="G66">
        <f t="shared" si="0"/>
        <v>2</v>
      </c>
      <c r="H66">
        <f t="shared" si="1"/>
        <v>4</v>
      </c>
    </row>
    <row r="67" spans="1:8" x14ac:dyDescent="0.25">
      <c r="A67">
        <v>66</v>
      </c>
      <c r="B67">
        <v>6.7</v>
      </c>
      <c r="C67">
        <v>3.1</v>
      </c>
      <c r="D67">
        <v>4.4000000000000004</v>
      </c>
      <c r="E67">
        <v>1.4</v>
      </c>
      <c r="F67" t="s">
        <v>7</v>
      </c>
      <c r="G67">
        <f t="shared" ref="G67:G130" si="2">IF(F67="Iris-setosa",1,IF(F67="Iris-versicolor",2,3))</f>
        <v>2</v>
      </c>
      <c r="H67">
        <f t="shared" ref="H67:H130" si="3">IF(F67="Iris-setosa",3,IF(F67="Iris-versicolor",4,5))</f>
        <v>4</v>
      </c>
    </row>
    <row r="68" spans="1:8" x14ac:dyDescent="0.25">
      <c r="A68">
        <v>67</v>
      </c>
      <c r="B68">
        <v>5.6</v>
      </c>
      <c r="C68">
        <v>3</v>
      </c>
      <c r="D68">
        <v>4.5</v>
      </c>
      <c r="E68">
        <v>1.5</v>
      </c>
      <c r="F68" t="s">
        <v>7</v>
      </c>
      <c r="G68">
        <f t="shared" si="2"/>
        <v>2</v>
      </c>
      <c r="H68">
        <f t="shared" si="3"/>
        <v>4</v>
      </c>
    </row>
    <row r="69" spans="1:8" x14ac:dyDescent="0.25">
      <c r="A69">
        <v>68</v>
      </c>
      <c r="B69">
        <v>5.8</v>
      </c>
      <c r="C69">
        <v>2.7</v>
      </c>
      <c r="D69">
        <v>4.0999999999999996</v>
      </c>
      <c r="E69">
        <v>1</v>
      </c>
      <c r="F69" t="s">
        <v>7</v>
      </c>
      <c r="G69">
        <f t="shared" si="2"/>
        <v>2</v>
      </c>
      <c r="H69">
        <f t="shared" si="3"/>
        <v>4</v>
      </c>
    </row>
    <row r="70" spans="1:8" x14ac:dyDescent="0.25">
      <c r="A70">
        <v>69</v>
      </c>
      <c r="B70">
        <v>6.2</v>
      </c>
      <c r="C70">
        <v>2.2000000000000002</v>
      </c>
      <c r="D70">
        <v>4.5</v>
      </c>
      <c r="E70">
        <v>1.5</v>
      </c>
      <c r="F70" t="s">
        <v>7</v>
      </c>
      <c r="G70">
        <f t="shared" si="2"/>
        <v>2</v>
      </c>
      <c r="H70">
        <f t="shared" si="3"/>
        <v>4</v>
      </c>
    </row>
    <row r="71" spans="1:8" x14ac:dyDescent="0.25">
      <c r="A71">
        <v>70</v>
      </c>
      <c r="B71">
        <v>5.6</v>
      </c>
      <c r="C71">
        <v>2.5</v>
      </c>
      <c r="D71">
        <v>3.9</v>
      </c>
      <c r="E71">
        <v>1.1000000000000001</v>
      </c>
      <c r="F71" t="s">
        <v>7</v>
      </c>
      <c r="G71">
        <f t="shared" si="2"/>
        <v>2</v>
      </c>
      <c r="H71">
        <f t="shared" si="3"/>
        <v>4</v>
      </c>
    </row>
    <row r="72" spans="1:8" x14ac:dyDescent="0.25">
      <c r="A72">
        <v>71</v>
      </c>
      <c r="B72">
        <v>5.9</v>
      </c>
      <c r="C72">
        <v>3.2</v>
      </c>
      <c r="D72">
        <v>4.8</v>
      </c>
      <c r="E72">
        <v>1.8</v>
      </c>
      <c r="F72" t="s">
        <v>7</v>
      </c>
      <c r="G72">
        <f t="shared" si="2"/>
        <v>2</v>
      </c>
      <c r="H72">
        <f t="shared" si="3"/>
        <v>4</v>
      </c>
    </row>
    <row r="73" spans="1:8" x14ac:dyDescent="0.25">
      <c r="A73">
        <v>72</v>
      </c>
      <c r="B73">
        <v>6.1</v>
      </c>
      <c r="C73">
        <v>2.8</v>
      </c>
      <c r="D73">
        <v>4</v>
      </c>
      <c r="E73">
        <v>1.3</v>
      </c>
      <c r="F73" t="s">
        <v>7</v>
      </c>
      <c r="G73">
        <f t="shared" si="2"/>
        <v>2</v>
      </c>
      <c r="H73">
        <f t="shared" si="3"/>
        <v>4</v>
      </c>
    </row>
    <row r="74" spans="1:8" x14ac:dyDescent="0.25">
      <c r="A74">
        <v>73</v>
      </c>
      <c r="B74">
        <v>6.3</v>
      </c>
      <c r="C74">
        <v>2.5</v>
      </c>
      <c r="D74">
        <v>4.9000000000000004</v>
      </c>
      <c r="E74">
        <v>1.5</v>
      </c>
      <c r="F74" t="s">
        <v>7</v>
      </c>
      <c r="G74">
        <f t="shared" si="2"/>
        <v>2</v>
      </c>
      <c r="H74">
        <f t="shared" si="3"/>
        <v>4</v>
      </c>
    </row>
    <row r="75" spans="1:8" x14ac:dyDescent="0.25">
      <c r="A75">
        <v>74</v>
      </c>
      <c r="B75">
        <v>6.1</v>
      </c>
      <c r="C75">
        <v>2.8</v>
      </c>
      <c r="D75">
        <v>4.7</v>
      </c>
      <c r="E75">
        <v>1.2</v>
      </c>
      <c r="F75" t="s">
        <v>7</v>
      </c>
      <c r="G75">
        <f t="shared" si="2"/>
        <v>2</v>
      </c>
      <c r="H75">
        <f t="shared" si="3"/>
        <v>4</v>
      </c>
    </row>
    <row r="76" spans="1:8" x14ac:dyDescent="0.25">
      <c r="A76">
        <v>75</v>
      </c>
      <c r="B76">
        <v>6.4</v>
      </c>
      <c r="C76">
        <v>2.9</v>
      </c>
      <c r="D76">
        <v>4.3</v>
      </c>
      <c r="E76">
        <v>1.3</v>
      </c>
      <c r="F76" t="s">
        <v>7</v>
      </c>
      <c r="G76">
        <f t="shared" si="2"/>
        <v>2</v>
      </c>
      <c r="H76">
        <f t="shared" si="3"/>
        <v>4</v>
      </c>
    </row>
    <row r="77" spans="1:8" x14ac:dyDescent="0.25">
      <c r="A77">
        <v>76</v>
      </c>
      <c r="B77">
        <v>6.6</v>
      </c>
      <c r="C77">
        <v>3</v>
      </c>
      <c r="D77">
        <v>4.4000000000000004</v>
      </c>
      <c r="E77">
        <v>1.4</v>
      </c>
      <c r="F77" t="s">
        <v>7</v>
      </c>
      <c r="G77">
        <f t="shared" si="2"/>
        <v>2</v>
      </c>
      <c r="H77">
        <f t="shared" si="3"/>
        <v>4</v>
      </c>
    </row>
    <row r="78" spans="1:8" x14ac:dyDescent="0.25">
      <c r="A78">
        <v>77</v>
      </c>
      <c r="B78">
        <v>6.8</v>
      </c>
      <c r="C78">
        <v>2.8</v>
      </c>
      <c r="D78">
        <v>4.8</v>
      </c>
      <c r="E78">
        <v>1.4</v>
      </c>
      <c r="F78" t="s">
        <v>7</v>
      </c>
      <c r="G78">
        <f t="shared" si="2"/>
        <v>2</v>
      </c>
      <c r="H78">
        <f t="shared" si="3"/>
        <v>4</v>
      </c>
    </row>
    <row r="79" spans="1:8" x14ac:dyDescent="0.25">
      <c r="A79">
        <v>78</v>
      </c>
      <c r="B79">
        <v>6.7</v>
      </c>
      <c r="C79">
        <v>3</v>
      </c>
      <c r="D79">
        <v>5</v>
      </c>
      <c r="E79">
        <v>1.7</v>
      </c>
      <c r="F79" t="s">
        <v>7</v>
      </c>
      <c r="G79">
        <f t="shared" si="2"/>
        <v>2</v>
      </c>
      <c r="H79">
        <f t="shared" si="3"/>
        <v>4</v>
      </c>
    </row>
    <row r="80" spans="1:8" x14ac:dyDescent="0.25">
      <c r="A80">
        <v>79</v>
      </c>
      <c r="B80">
        <v>6</v>
      </c>
      <c r="C80">
        <v>2.9</v>
      </c>
      <c r="D80">
        <v>4.5</v>
      </c>
      <c r="E80">
        <v>1.5</v>
      </c>
      <c r="F80" t="s">
        <v>7</v>
      </c>
      <c r="G80">
        <f t="shared" si="2"/>
        <v>2</v>
      </c>
      <c r="H80">
        <f t="shared" si="3"/>
        <v>4</v>
      </c>
    </row>
    <row r="81" spans="1:8" x14ac:dyDescent="0.25">
      <c r="A81">
        <v>80</v>
      </c>
      <c r="B81">
        <v>5.7</v>
      </c>
      <c r="C81">
        <v>2.6</v>
      </c>
      <c r="D81">
        <v>3.5</v>
      </c>
      <c r="E81">
        <v>1</v>
      </c>
      <c r="F81" t="s">
        <v>7</v>
      </c>
      <c r="G81">
        <f t="shared" si="2"/>
        <v>2</v>
      </c>
      <c r="H81">
        <f t="shared" si="3"/>
        <v>4</v>
      </c>
    </row>
    <row r="82" spans="1:8" x14ac:dyDescent="0.25">
      <c r="A82">
        <v>81</v>
      </c>
      <c r="B82">
        <v>5.5</v>
      </c>
      <c r="C82">
        <v>2.4</v>
      </c>
      <c r="D82">
        <v>3.8</v>
      </c>
      <c r="E82">
        <v>1.1000000000000001</v>
      </c>
      <c r="F82" t="s">
        <v>7</v>
      </c>
      <c r="G82">
        <f t="shared" si="2"/>
        <v>2</v>
      </c>
      <c r="H82">
        <f t="shared" si="3"/>
        <v>4</v>
      </c>
    </row>
    <row r="83" spans="1:8" x14ac:dyDescent="0.25">
      <c r="A83">
        <v>82</v>
      </c>
      <c r="B83">
        <v>5.5</v>
      </c>
      <c r="C83">
        <v>2.4</v>
      </c>
      <c r="D83">
        <v>3.7</v>
      </c>
      <c r="E83">
        <v>1</v>
      </c>
      <c r="F83" t="s">
        <v>7</v>
      </c>
      <c r="G83">
        <f t="shared" si="2"/>
        <v>2</v>
      </c>
      <c r="H83">
        <f t="shared" si="3"/>
        <v>4</v>
      </c>
    </row>
    <row r="84" spans="1:8" x14ac:dyDescent="0.25">
      <c r="A84">
        <v>83</v>
      </c>
      <c r="B84">
        <v>5.8</v>
      </c>
      <c r="C84">
        <v>2.7</v>
      </c>
      <c r="D84">
        <v>3.9</v>
      </c>
      <c r="E84">
        <v>1.2</v>
      </c>
      <c r="F84" t="s">
        <v>7</v>
      </c>
      <c r="G84">
        <f t="shared" si="2"/>
        <v>2</v>
      </c>
      <c r="H84">
        <f t="shared" si="3"/>
        <v>4</v>
      </c>
    </row>
    <row r="85" spans="1:8" x14ac:dyDescent="0.25">
      <c r="A85">
        <v>84</v>
      </c>
      <c r="B85">
        <v>6</v>
      </c>
      <c r="C85">
        <v>2.7</v>
      </c>
      <c r="D85">
        <v>5.0999999999999996</v>
      </c>
      <c r="E85">
        <v>1.6</v>
      </c>
      <c r="F85" t="s">
        <v>7</v>
      </c>
      <c r="G85">
        <f t="shared" si="2"/>
        <v>2</v>
      </c>
      <c r="H85">
        <f t="shared" si="3"/>
        <v>4</v>
      </c>
    </row>
    <row r="86" spans="1:8" x14ac:dyDescent="0.25">
      <c r="A86">
        <v>85</v>
      </c>
      <c r="B86">
        <v>5.4</v>
      </c>
      <c r="C86">
        <v>3</v>
      </c>
      <c r="D86">
        <v>4.5</v>
      </c>
      <c r="E86">
        <v>1.5</v>
      </c>
      <c r="F86" t="s">
        <v>7</v>
      </c>
      <c r="G86">
        <f t="shared" si="2"/>
        <v>2</v>
      </c>
      <c r="H86">
        <f t="shared" si="3"/>
        <v>4</v>
      </c>
    </row>
    <row r="87" spans="1:8" x14ac:dyDescent="0.25">
      <c r="A87">
        <v>86</v>
      </c>
      <c r="B87">
        <v>6</v>
      </c>
      <c r="C87">
        <v>3.4</v>
      </c>
      <c r="D87">
        <v>4.5</v>
      </c>
      <c r="E87">
        <v>1.6</v>
      </c>
      <c r="F87" t="s">
        <v>7</v>
      </c>
      <c r="G87">
        <f t="shared" si="2"/>
        <v>2</v>
      </c>
      <c r="H87">
        <f t="shared" si="3"/>
        <v>4</v>
      </c>
    </row>
    <row r="88" spans="1:8" x14ac:dyDescent="0.25">
      <c r="A88">
        <v>87</v>
      </c>
      <c r="B88">
        <v>6.7</v>
      </c>
      <c r="C88">
        <v>3.1</v>
      </c>
      <c r="D88">
        <v>4.7</v>
      </c>
      <c r="E88">
        <v>1.5</v>
      </c>
      <c r="F88" t="s">
        <v>7</v>
      </c>
      <c r="G88">
        <f t="shared" si="2"/>
        <v>2</v>
      </c>
      <c r="H88">
        <f t="shared" si="3"/>
        <v>4</v>
      </c>
    </row>
    <row r="89" spans="1:8" x14ac:dyDescent="0.25">
      <c r="A89">
        <v>88</v>
      </c>
      <c r="B89">
        <v>6.3</v>
      </c>
      <c r="C89">
        <v>2.2999999999999998</v>
      </c>
      <c r="D89">
        <v>4.4000000000000004</v>
      </c>
      <c r="E89">
        <v>1.3</v>
      </c>
      <c r="F89" t="s">
        <v>7</v>
      </c>
      <c r="G89">
        <f t="shared" si="2"/>
        <v>2</v>
      </c>
      <c r="H89">
        <f t="shared" si="3"/>
        <v>4</v>
      </c>
    </row>
    <row r="90" spans="1:8" x14ac:dyDescent="0.25">
      <c r="A90">
        <v>89</v>
      </c>
      <c r="B90">
        <v>5.6</v>
      </c>
      <c r="C90">
        <v>3</v>
      </c>
      <c r="D90">
        <v>4.0999999999999996</v>
      </c>
      <c r="E90">
        <v>1.3</v>
      </c>
      <c r="F90" t="s">
        <v>7</v>
      </c>
      <c r="G90">
        <f t="shared" si="2"/>
        <v>2</v>
      </c>
      <c r="H90">
        <f t="shared" si="3"/>
        <v>4</v>
      </c>
    </row>
    <row r="91" spans="1:8" x14ac:dyDescent="0.25">
      <c r="A91">
        <v>90</v>
      </c>
      <c r="B91">
        <v>5.5</v>
      </c>
      <c r="C91">
        <v>2.5</v>
      </c>
      <c r="D91">
        <v>4</v>
      </c>
      <c r="E91">
        <v>1.3</v>
      </c>
      <c r="F91" t="s">
        <v>7</v>
      </c>
      <c r="G91">
        <f t="shared" si="2"/>
        <v>2</v>
      </c>
      <c r="H91">
        <f t="shared" si="3"/>
        <v>4</v>
      </c>
    </row>
    <row r="92" spans="1:8" x14ac:dyDescent="0.25">
      <c r="A92">
        <v>91</v>
      </c>
      <c r="B92">
        <v>5.5</v>
      </c>
      <c r="C92">
        <v>2.6</v>
      </c>
      <c r="D92">
        <v>4.4000000000000004</v>
      </c>
      <c r="E92">
        <v>1.2</v>
      </c>
      <c r="F92" t="s">
        <v>7</v>
      </c>
      <c r="G92">
        <f t="shared" si="2"/>
        <v>2</v>
      </c>
      <c r="H92">
        <f t="shared" si="3"/>
        <v>4</v>
      </c>
    </row>
    <row r="93" spans="1:8" x14ac:dyDescent="0.25">
      <c r="A93">
        <v>92</v>
      </c>
      <c r="B93">
        <v>6.1</v>
      </c>
      <c r="C93">
        <v>3</v>
      </c>
      <c r="D93">
        <v>4.5999999999999996</v>
      </c>
      <c r="E93">
        <v>1.4</v>
      </c>
      <c r="F93" t="s">
        <v>7</v>
      </c>
      <c r="G93">
        <f t="shared" si="2"/>
        <v>2</v>
      </c>
      <c r="H93">
        <f t="shared" si="3"/>
        <v>4</v>
      </c>
    </row>
    <row r="94" spans="1:8" x14ac:dyDescent="0.25">
      <c r="A94">
        <v>93</v>
      </c>
      <c r="B94">
        <v>5.8</v>
      </c>
      <c r="C94">
        <v>2.6</v>
      </c>
      <c r="D94">
        <v>4</v>
      </c>
      <c r="E94">
        <v>1.2</v>
      </c>
      <c r="F94" t="s">
        <v>7</v>
      </c>
      <c r="G94">
        <f t="shared" si="2"/>
        <v>2</v>
      </c>
      <c r="H94">
        <f t="shared" si="3"/>
        <v>4</v>
      </c>
    </row>
    <row r="95" spans="1:8" x14ac:dyDescent="0.25">
      <c r="A95">
        <v>94</v>
      </c>
      <c r="B95">
        <v>5</v>
      </c>
      <c r="C95">
        <v>2.2999999999999998</v>
      </c>
      <c r="D95">
        <v>3.3</v>
      </c>
      <c r="E95">
        <v>1</v>
      </c>
      <c r="F95" t="s">
        <v>7</v>
      </c>
      <c r="G95">
        <f t="shared" si="2"/>
        <v>2</v>
      </c>
      <c r="H95">
        <f t="shared" si="3"/>
        <v>4</v>
      </c>
    </row>
    <row r="96" spans="1:8" x14ac:dyDescent="0.25">
      <c r="A96">
        <v>95</v>
      </c>
      <c r="B96">
        <v>5.6</v>
      </c>
      <c r="C96">
        <v>2.7</v>
      </c>
      <c r="D96">
        <v>4.2</v>
      </c>
      <c r="E96">
        <v>1.3</v>
      </c>
      <c r="F96" t="s">
        <v>7</v>
      </c>
      <c r="G96">
        <f t="shared" si="2"/>
        <v>2</v>
      </c>
      <c r="H96">
        <f t="shared" si="3"/>
        <v>4</v>
      </c>
    </row>
    <row r="97" spans="1:8" x14ac:dyDescent="0.25">
      <c r="A97">
        <v>96</v>
      </c>
      <c r="B97">
        <v>5.7</v>
      </c>
      <c r="C97">
        <v>3</v>
      </c>
      <c r="D97">
        <v>4.2</v>
      </c>
      <c r="E97">
        <v>1.2</v>
      </c>
      <c r="F97" t="s">
        <v>7</v>
      </c>
      <c r="G97">
        <f t="shared" si="2"/>
        <v>2</v>
      </c>
      <c r="H97">
        <f t="shared" si="3"/>
        <v>4</v>
      </c>
    </row>
    <row r="98" spans="1:8" x14ac:dyDescent="0.25">
      <c r="A98">
        <v>97</v>
      </c>
      <c r="B98">
        <v>5.7</v>
      </c>
      <c r="C98">
        <v>2.9</v>
      </c>
      <c r="D98">
        <v>4.2</v>
      </c>
      <c r="E98">
        <v>1.3</v>
      </c>
      <c r="F98" t="s">
        <v>7</v>
      </c>
      <c r="G98">
        <f t="shared" si="2"/>
        <v>2</v>
      </c>
      <c r="H98">
        <f t="shared" si="3"/>
        <v>4</v>
      </c>
    </row>
    <row r="99" spans="1:8" x14ac:dyDescent="0.25">
      <c r="A99">
        <v>98</v>
      </c>
      <c r="B99">
        <v>6.2</v>
      </c>
      <c r="C99">
        <v>2.9</v>
      </c>
      <c r="D99">
        <v>4.3</v>
      </c>
      <c r="E99">
        <v>1.3</v>
      </c>
      <c r="F99" t="s">
        <v>7</v>
      </c>
      <c r="G99">
        <f t="shared" si="2"/>
        <v>2</v>
      </c>
      <c r="H99">
        <f t="shared" si="3"/>
        <v>4</v>
      </c>
    </row>
    <row r="100" spans="1:8" x14ac:dyDescent="0.25">
      <c r="A100">
        <v>99</v>
      </c>
      <c r="B100">
        <v>5.0999999999999996</v>
      </c>
      <c r="C100">
        <v>2.5</v>
      </c>
      <c r="D100">
        <v>3</v>
      </c>
      <c r="E100">
        <v>1.1000000000000001</v>
      </c>
      <c r="F100" t="s">
        <v>7</v>
      </c>
      <c r="G100">
        <f t="shared" si="2"/>
        <v>2</v>
      </c>
      <c r="H100">
        <f t="shared" si="3"/>
        <v>4</v>
      </c>
    </row>
    <row r="101" spans="1:8" x14ac:dyDescent="0.25">
      <c r="A101">
        <v>100</v>
      </c>
      <c r="B101">
        <v>5.7</v>
      </c>
      <c r="C101">
        <v>2.8</v>
      </c>
      <c r="D101">
        <v>4.0999999999999996</v>
      </c>
      <c r="E101">
        <v>1.3</v>
      </c>
      <c r="F101" t="s">
        <v>7</v>
      </c>
      <c r="G101">
        <f t="shared" si="2"/>
        <v>2</v>
      </c>
      <c r="H101">
        <f t="shared" si="3"/>
        <v>4</v>
      </c>
    </row>
    <row r="102" spans="1:8" x14ac:dyDescent="0.25">
      <c r="A102">
        <v>101</v>
      </c>
      <c r="B102">
        <v>6.3</v>
      </c>
      <c r="C102">
        <v>3.3</v>
      </c>
      <c r="D102">
        <v>6</v>
      </c>
      <c r="E102">
        <v>2.5</v>
      </c>
      <c r="F102" t="s">
        <v>8</v>
      </c>
      <c r="G102">
        <f t="shared" si="2"/>
        <v>3</v>
      </c>
      <c r="H102">
        <f t="shared" si="3"/>
        <v>5</v>
      </c>
    </row>
    <row r="103" spans="1:8" x14ac:dyDescent="0.25">
      <c r="A103">
        <v>102</v>
      </c>
      <c r="B103">
        <v>5.8</v>
      </c>
      <c r="C103">
        <v>2.7</v>
      </c>
      <c r="D103">
        <v>5.0999999999999996</v>
      </c>
      <c r="E103">
        <v>1.9</v>
      </c>
      <c r="F103" t="s">
        <v>8</v>
      </c>
      <c r="G103">
        <f t="shared" si="2"/>
        <v>3</v>
      </c>
      <c r="H103">
        <f t="shared" si="3"/>
        <v>5</v>
      </c>
    </row>
    <row r="104" spans="1:8" x14ac:dyDescent="0.25">
      <c r="A104">
        <v>103</v>
      </c>
      <c r="B104">
        <v>7.1</v>
      </c>
      <c r="C104">
        <v>3</v>
      </c>
      <c r="D104">
        <v>5.9</v>
      </c>
      <c r="E104">
        <v>2.1</v>
      </c>
      <c r="F104" t="s">
        <v>8</v>
      </c>
      <c r="G104">
        <f t="shared" si="2"/>
        <v>3</v>
      </c>
      <c r="H104">
        <f t="shared" si="3"/>
        <v>5</v>
      </c>
    </row>
    <row r="105" spans="1:8" x14ac:dyDescent="0.25">
      <c r="A105">
        <v>104</v>
      </c>
      <c r="B105">
        <v>6.3</v>
      </c>
      <c r="C105">
        <v>2.9</v>
      </c>
      <c r="D105">
        <v>5.6</v>
      </c>
      <c r="E105">
        <v>1.8</v>
      </c>
      <c r="F105" t="s">
        <v>8</v>
      </c>
      <c r="G105">
        <f t="shared" si="2"/>
        <v>3</v>
      </c>
      <c r="H105">
        <f t="shared" si="3"/>
        <v>5</v>
      </c>
    </row>
    <row r="106" spans="1:8" x14ac:dyDescent="0.25">
      <c r="A106">
        <v>105</v>
      </c>
      <c r="B106">
        <v>6.5</v>
      </c>
      <c r="C106">
        <v>3</v>
      </c>
      <c r="D106">
        <v>5.8</v>
      </c>
      <c r="E106">
        <v>2.2000000000000002</v>
      </c>
      <c r="F106" t="s">
        <v>8</v>
      </c>
      <c r="G106">
        <f t="shared" si="2"/>
        <v>3</v>
      </c>
      <c r="H106">
        <f t="shared" si="3"/>
        <v>5</v>
      </c>
    </row>
    <row r="107" spans="1:8" x14ac:dyDescent="0.25">
      <c r="A107">
        <v>106</v>
      </c>
      <c r="B107">
        <v>7.6</v>
      </c>
      <c r="C107">
        <v>3</v>
      </c>
      <c r="D107">
        <v>6.6</v>
      </c>
      <c r="E107">
        <v>2.1</v>
      </c>
      <c r="F107" t="s">
        <v>8</v>
      </c>
      <c r="G107">
        <f t="shared" si="2"/>
        <v>3</v>
      </c>
      <c r="H107">
        <f t="shared" si="3"/>
        <v>5</v>
      </c>
    </row>
    <row r="108" spans="1:8" x14ac:dyDescent="0.25">
      <c r="A108">
        <v>108</v>
      </c>
      <c r="B108">
        <v>7.3</v>
      </c>
      <c r="C108">
        <v>2.9</v>
      </c>
      <c r="D108">
        <v>6.3</v>
      </c>
      <c r="E108">
        <v>1.8</v>
      </c>
      <c r="F108" t="s">
        <v>8</v>
      </c>
      <c r="G108">
        <f t="shared" si="2"/>
        <v>3</v>
      </c>
      <c r="H108">
        <f t="shared" si="3"/>
        <v>5</v>
      </c>
    </row>
    <row r="109" spans="1:8" x14ac:dyDescent="0.25">
      <c r="A109">
        <v>109</v>
      </c>
      <c r="B109">
        <v>6.7</v>
      </c>
      <c r="C109">
        <v>2.5</v>
      </c>
      <c r="D109">
        <v>5.8</v>
      </c>
      <c r="E109">
        <v>1.8</v>
      </c>
      <c r="F109" t="s">
        <v>8</v>
      </c>
      <c r="G109">
        <f t="shared" si="2"/>
        <v>3</v>
      </c>
      <c r="H109">
        <f t="shared" si="3"/>
        <v>5</v>
      </c>
    </row>
    <row r="110" spans="1:8" x14ac:dyDescent="0.25">
      <c r="A110">
        <v>110</v>
      </c>
      <c r="B110">
        <v>7.2</v>
      </c>
      <c r="C110">
        <v>3.6</v>
      </c>
      <c r="D110">
        <v>6.1</v>
      </c>
      <c r="E110">
        <v>2.5</v>
      </c>
      <c r="F110" t="s">
        <v>8</v>
      </c>
      <c r="G110">
        <f t="shared" si="2"/>
        <v>3</v>
      </c>
      <c r="H110">
        <f t="shared" si="3"/>
        <v>5</v>
      </c>
    </row>
    <row r="111" spans="1:8" x14ac:dyDescent="0.25">
      <c r="A111">
        <v>111</v>
      </c>
      <c r="B111">
        <v>6.5</v>
      </c>
      <c r="C111">
        <v>3.2</v>
      </c>
      <c r="D111">
        <v>5.0999999999999996</v>
      </c>
      <c r="E111">
        <v>2</v>
      </c>
      <c r="F111" t="s">
        <v>8</v>
      </c>
      <c r="G111">
        <f t="shared" si="2"/>
        <v>3</v>
      </c>
      <c r="H111">
        <f t="shared" si="3"/>
        <v>5</v>
      </c>
    </row>
    <row r="112" spans="1:8" x14ac:dyDescent="0.25">
      <c r="A112">
        <v>112</v>
      </c>
      <c r="B112">
        <v>6.4</v>
      </c>
      <c r="C112">
        <v>2.7</v>
      </c>
      <c r="D112">
        <v>5.3</v>
      </c>
      <c r="E112">
        <v>1.9</v>
      </c>
      <c r="F112" t="s">
        <v>8</v>
      </c>
      <c r="G112">
        <f t="shared" si="2"/>
        <v>3</v>
      </c>
      <c r="H112">
        <f t="shared" si="3"/>
        <v>5</v>
      </c>
    </row>
    <row r="113" spans="1:8" x14ac:dyDescent="0.25">
      <c r="A113">
        <v>113</v>
      </c>
      <c r="B113">
        <v>6.8</v>
      </c>
      <c r="C113">
        <v>3</v>
      </c>
      <c r="D113">
        <v>5.5</v>
      </c>
      <c r="E113">
        <v>2.1</v>
      </c>
      <c r="F113" t="s">
        <v>8</v>
      </c>
      <c r="G113">
        <f t="shared" si="2"/>
        <v>3</v>
      </c>
      <c r="H113">
        <f t="shared" si="3"/>
        <v>5</v>
      </c>
    </row>
    <row r="114" spans="1:8" x14ac:dyDescent="0.25">
      <c r="A114">
        <v>114</v>
      </c>
      <c r="B114">
        <v>5.7</v>
      </c>
      <c r="C114">
        <v>2.5</v>
      </c>
      <c r="D114">
        <v>5</v>
      </c>
      <c r="E114">
        <v>2</v>
      </c>
      <c r="F114" t="s">
        <v>8</v>
      </c>
      <c r="G114">
        <f t="shared" si="2"/>
        <v>3</v>
      </c>
      <c r="H114">
        <f t="shared" si="3"/>
        <v>5</v>
      </c>
    </row>
    <row r="115" spans="1:8" x14ac:dyDescent="0.25">
      <c r="A115">
        <v>115</v>
      </c>
      <c r="B115">
        <v>5.8</v>
      </c>
      <c r="C115">
        <v>2.8</v>
      </c>
      <c r="D115">
        <v>5.0999999999999996</v>
      </c>
      <c r="E115">
        <v>2.4</v>
      </c>
      <c r="F115" t="s">
        <v>8</v>
      </c>
      <c r="G115">
        <f t="shared" si="2"/>
        <v>3</v>
      </c>
      <c r="H115">
        <f t="shared" si="3"/>
        <v>5</v>
      </c>
    </row>
    <row r="116" spans="1:8" x14ac:dyDescent="0.25">
      <c r="A116">
        <v>116</v>
      </c>
      <c r="B116">
        <v>6.4</v>
      </c>
      <c r="C116">
        <v>3.2</v>
      </c>
      <c r="D116">
        <v>5.3</v>
      </c>
      <c r="E116">
        <v>2.2999999999999998</v>
      </c>
      <c r="F116" t="s">
        <v>8</v>
      </c>
      <c r="G116">
        <f t="shared" si="2"/>
        <v>3</v>
      </c>
      <c r="H116">
        <f t="shared" si="3"/>
        <v>5</v>
      </c>
    </row>
    <row r="117" spans="1:8" x14ac:dyDescent="0.25">
      <c r="A117">
        <v>117</v>
      </c>
      <c r="B117">
        <v>6.5</v>
      </c>
      <c r="C117">
        <v>3</v>
      </c>
      <c r="D117">
        <v>5.5</v>
      </c>
      <c r="E117">
        <v>1.8</v>
      </c>
      <c r="F117" t="s">
        <v>8</v>
      </c>
      <c r="G117">
        <f t="shared" si="2"/>
        <v>3</v>
      </c>
      <c r="H117">
        <f t="shared" si="3"/>
        <v>5</v>
      </c>
    </row>
    <row r="118" spans="1:8" x14ac:dyDescent="0.25">
      <c r="A118">
        <v>118</v>
      </c>
      <c r="B118">
        <v>7.7</v>
      </c>
      <c r="C118">
        <v>3.8</v>
      </c>
      <c r="D118">
        <v>6.7</v>
      </c>
      <c r="E118">
        <v>2.2000000000000002</v>
      </c>
      <c r="F118" t="s">
        <v>8</v>
      </c>
      <c r="G118">
        <f t="shared" si="2"/>
        <v>3</v>
      </c>
      <c r="H118">
        <f t="shared" si="3"/>
        <v>5</v>
      </c>
    </row>
    <row r="119" spans="1:8" x14ac:dyDescent="0.25">
      <c r="A119">
        <v>119</v>
      </c>
      <c r="B119">
        <v>7.7</v>
      </c>
      <c r="C119">
        <v>2.6</v>
      </c>
      <c r="D119">
        <v>6.9</v>
      </c>
      <c r="E119">
        <v>2.2999999999999998</v>
      </c>
      <c r="F119" t="s">
        <v>8</v>
      </c>
      <c r="G119">
        <f t="shared" si="2"/>
        <v>3</v>
      </c>
      <c r="H119">
        <f t="shared" si="3"/>
        <v>5</v>
      </c>
    </row>
    <row r="120" spans="1:8" x14ac:dyDescent="0.25">
      <c r="A120">
        <v>121</v>
      </c>
      <c r="B120">
        <v>6.9</v>
      </c>
      <c r="C120">
        <v>3.2</v>
      </c>
      <c r="D120">
        <v>5.7</v>
      </c>
      <c r="E120">
        <v>2.2999999999999998</v>
      </c>
      <c r="F120" t="s">
        <v>8</v>
      </c>
      <c r="G120">
        <f t="shared" si="2"/>
        <v>3</v>
      </c>
      <c r="H120">
        <f t="shared" si="3"/>
        <v>5</v>
      </c>
    </row>
    <row r="121" spans="1:8" x14ac:dyDescent="0.25">
      <c r="A121">
        <v>122</v>
      </c>
      <c r="B121">
        <v>5.6</v>
      </c>
      <c r="C121">
        <v>2.8</v>
      </c>
      <c r="D121">
        <v>4.9000000000000004</v>
      </c>
      <c r="E121">
        <v>2</v>
      </c>
      <c r="F121" t="s">
        <v>8</v>
      </c>
      <c r="G121">
        <f t="shared" si="2"/>
        <v>3</v>
      </c>
      <c r="H121">
        <f t="shared" si="3"/>
        <v>5</v>
      </c>
    </row>
    <row r="122" spans="1:8" x14ac:dyDescent="0.25">
      <c r="A122">
        <v>123</v>
      </c>
      <c r="B122">
        <v>7.7</v>
      </c>
      <c r="C122">
        <v>2.8</v>
      </c>
      <c r="D122">
        <v>6.7</v>
      </c>
      <c r="E122">
        <v>2</v>
      </c>
      <c r="F122" t="s">
        <v>8</v>
      </c>
      <c r="G122">
        <f t="shared" si="2"/>
        <v>3</v>
      </c>
      <c r="H122">
        <f t="shared" si="3"/>
        <v>5</v>
      </c>
    </row>
    <row r="123" spans="1:8" x14ac:dyDescent="0.25">
      <c r="A123">
        <v>124</v>
      </c>
      <c r="B123">
        <v>6.3</v>
      </c>
      <c r="C123">
        <v>2.7</v>
      </c>
      <c r="D123">
        <v>4.9000000000000004</v>
      </c>
      <c r="E123">
        <v>1.8</v>
      </c>
      <c r="F123" t="s">
        <v>8</v>
      </c>
      <c r="G123">
        <f t="shared" si="2"/>
        <v>3</v>
      </c>
      <c r="H123">
        <f t="shared" si="3"/>
        <v>5</v>
      </c>
    </row>
    <row r="124" spans="1:8" x14ac:dyDescent="0.25">
      <c r="A124">
        <v>125</v>
      </c>
      <c r="B124">
        <v>6.7</v>
      </c>
      <c r="C124">
        <v>3.3</v>
      </c>
      <c r="D124">
        <v>5.7</v>
      </c>
      <c r="E124">
        <v>2.1</v>
      </c>
      <c r="F124" t="s">
        <v>8</v>
      </c>
      <c r="G124">
        <f t="shared" si="2"/>
        <v>3</v>
      </c>
      <c r="H124">
        <f t="shared" si="3"/>
        <v>5</v>
      </c>
    </row>
    <row r="125" spans="1:8" x14ac:dyDescent="0.25">
      <c r="A125">
        <v>126</v>
      </c>
      <c r="B125">
        <v>7.2</v>
      </c>
      <c r="C125">
        <v>3.2</v>
      </c>
      <c r="D125">
        <v>6</v>
      </c>
      <c r="E125">
        <v>1.8</v>
      </c>
      <c r="F125" t="s">
        <v>8</v>
      </c>
      <c r="G125">
        <f t="shared" si="2"/>
        <v>3</v>
      </c>
      <c r="H125">
        <f t="shared" si="3"/>
        <v>5</v>
      </c>
    </row>
    <row r="126" spans="1:8" x14ac:dyDescent="0.25">
      <c r="A126">
        <v>127</v>
      </c>
      <c r="B126">
        <v>6.2</v>
      </c>
      <c r="C126">
        <v>2.8</v>
      </c>
      <c r="D126">
        <v>4.8</v>
      </c>
      <c r="E126">
        <v>1.8</v>
      </c>
      <c r="F126" t="s">
        <v>8</v>
      </c>
      <c r="G126">
        <f t="shared" si="2"/>
        <v>3</v>
      </c>
      <c r="H126">
        <f t="shared" si="3"/>
        <v>5</v>
      </c>
    </row>
    <row r="127" spans="1:8" x14ac:dyDescent="0.25">
      <c r="A127">
        <v>128</v>
      </c>
      <c r="B127">
        <v>6.1</v>
      </c>
      <c r="C127">
        <v>3</v>
      </c>
      <c r="D127">
        <v>4.9000000000000004</v>
      </c>
      <c r="E127">
        <v>1.8</v>
      </c>
      <c r="F127" t="s">
        <v>8</v>
      </c>
      <c r="G127">
        <f t="shared" si="2"/>
        <v>3</v>
      </c>
      <c r="H127">
        <f t="shared" si="3"/>
        <v>5</v>
      </c>
    </row>
    <row r="128" spans="1:8" x14ac:dyDescent="0.25">
      <c r="A128">
        <v>129</v>
      </c>
      <c r="B128">
        <v>6.4</v>
      </c>
      <c r="C128">
        <v>2.8</v>
      </c>
      <c r="D128">
        <v>5.6</v>
      </c>
      <c r="E128">
        <v>2.1</v>
      </c>
      <c r="F128" t="s">
        <v>8</v>
      </c>
      <c r="G128">
        <f t="shared" si="2"/>
        <v>3</v>
      </c>
      <c r="H128">
        <f t="shared" si="3"/>
        <v>5</v>
      </c>
    </row>
    <row r="129" spans="1:8" x14ac:dyDescent="0.25">
      <c r="A129">
        <v>131</v>
      </c>
      <c r="B129">
        <v>7.4</v>
      </c>
      <c r="C129">
        <v>2.8</v>
      </c>
      <c r="D129">
        <v>6.1</v>
      </c>
      <c r="E129">
        <v>1.9</v>
      </c>
      <c r="F129" t="s">
        <v>8</v>
      </c>
      <c r="G129">
        <f t="shared" si="2"/>
        <v>3</v>
      </c>
      <c r="H129">
        <f t="shared" si="3"/>
        <v>5</v>
      </c>
    </row>
    <row r="130" spans="1:8" x14ac:dyDescent="0.25">
      <c r="A130">
        <v>132</v>
      </c>
      <c r="B130">
        <v>7.9</v>
      </c>
      <c r="C130">
        <v>3.8</v>
      </c>
      <c r="D130">
        <v>6.4</v>
      </c>
      <c r="E130">
        <v>2</v>
      </c>
      <c r="F130" t="s">
        <v>8</v>
      </c>
      <c r="G130">
        <f t="shared" si="2"/>
        <v>3</v>
      </c>
      <c r="H130">
        <f t="shared" si="3"/>
        <v>5</v>
      </c>
    </row>
    <row r="131" spans="1:8" x14ac:dyDescent="0.25">
      <c r="A131">
        <v>133</v>
      </c>
      <c r="B131">
        <v>6.4</v>
      </c>
      <c r="C131">
        <v>2.8</v>
      </c>
      <c r="D131">
        <v>5.6</v>
      </c>
      <c r="E131">
        <v>2.2000000000000002</v>
      </c>
      <c r="F131" t="s">
        <v>8</v>
      </c>
      <c r="G131">
        <f t="shared" ref="G131:G146" si="4">IF(F131="Iris-setosa",1,IF(F131="Iris-versicolor",2,3))</f>
        <v>3</v>
      </c>
      <c r="H131">
        <f t="shared" ref="H131:H146" si="5">IF(F131="Iris-setosa",3,IF(F131="Iris-versicolor",4,5))</f>
        <v>5</v>
      </c>
    </row>
    <row r="132" spans="1:8" x14ac:dyDescent="0.25">
      <c r="A132">
        <v>136</v>
      </c>
      <c r="B132">
        <v>7.7</v>
      </c>
      <c r="C132">
        <v>3</v>
      </c>
      <c r="D132">
        <v>6.1</v>
      </c>
      <c r="E132">
        <v>2.2999999999999998</v>
      </c>
      <c r="F132" t="s">
        <v>8</v>
      </c>
      <c r="G132">
        <f t="shared" si="4"/>
        <v>3</v>
      </c>
      <c r="H132">
        <f t="shared" si="5"/>
        <v>5</v>
      </c>
    </row>
    <row r="133" spans="1:8" x14ac:dyDescent="0.25">
      <c r="A133">
        <v>137</v>
      </c>
      <c r="B133">
        <v>6.3</v>
      </c>
      <c r="C133">
        <v>3.4</v>
      </c>
      <c r="D133">
        <v>5.6</v>
      </c>
      <c r="E133">
        <v>2.4</v>
      </c>
      <c r="F133" t="s">
        <v>8</v>
      </c>
      <c r="G133">
        <f t="shared" si="4"/>
        <v>3</v>
      </c>
      <c r="H133">
        <f t="shared" si="5"/>
        <v>5</v>
      </c>
    </row>
    <row r="134" spans="1:8" x14ac:dyDescent="0.25">
      <c r="A134">
        <v>138</v>
      </c>
      <c r="B134">
        <v>6.4</v>
      </c>
      <c r="C134">
        <v>3.1</v>
      </c>
      <c r="D134">
        <v>5.5</v>
      </c>
      <c r="E134">
        <v>1.8</v>
      </c>
      <c r="F134" t="s">
        <v>8</v>
      </c>
      <c r="G134">
        <f t="shared" si="4"/>
        <v>3</v>
      </c>
      <c r="H134">
        <f t="shared" si="5"/>
        <v>5</v>
      </c>
    </row>
    <row r="135" spans="1:8" x14ac:dyDescent="0.25">
      <c r="A135">
        <v>139</v>
      </c>
      <c r="B135">
        <v>6</v>
      </c>
      <c r="C135">
        <v>3</v>
      </c>
      <c r="D135">
        <v>4.8</v>
      </c>
      <c r="E135">
        <v>1.8</v>
      </c>
      <c r="F135" t="s">
        <v>8</v>
      </c>
      <c r="G135">
        <f t="shared" si="4"/>
        <v>3</v>
      </c>
      <c r="H135">
        <f t="shared" si="5"/>
        <v>5</v>
      </c>
    </row>
    <row r="136" spans="1:8" x14ac:dyDescent="0.25">
      <c r="A136">
        <v>140</v>
      </c>
      <c r="B136">
        <v>6.9</v>
      </c>
      <c r="C136">
        <v>3.1</v>
      </c>
      <c r="D136">
        <v>5.4</v>
      </c>
      <c r="E136">
        <v>2.1</v>
      </c>
      <c r="F136" t="s">
        <v>8</v>
      </c>
      <c r="G136">
        <f t="shared" si="4"/>
        <v>3</v>
      </c>
      <c r="H136">
        <f t="shared" si="5"/>
        <v>5</v>
      </c>
    </row>
    <row r="137" spans="1:8" x14ac:dyDescent="0.25">
      <c r="A137">
        <v>141</v>
      </c>
      <c r="B137">
        <v>6.7</v>
      </c>
      <c r="C137">
        <v>3.1</v>
      </c>
      <c r="D137">
        <v>5.6</v>
      </c>
      <c r="E137">
        <v>2.4</v>
      </c>
      <c r="F137" t="s">
        <v>8</v>
      </c>
      <c r="G137">
        <f t="shared" si="4"/>
        <v>3</v>
      </c>
      <c r="H137">
        <f t="shared" si="5"/>
        <v>5</v>
      </c>
    </row>
    <row r="138" spans="1:8" x14ac:dyDescent="0.25">
      <c r="A138">
        <v>142</v>
      </c>
      <c r="B138">
        <v>6.9</v>
      </c>
      <c r="C138">
        <v>3.1</v>
      </c>
      <c r="D138">
        <v>5.0999999999999996</v>
      </c>
      <c r="E138">
        <v>2.2999999999999998</v>
      </c>
      <c r="F138" t="s">
        <v>8</v>
      </c>
      <c r="G138">
        <f t="shared" si="4"/>
        <v>3</v>
      </c>
      <c r="H138">
        <f t="shared" si="5"/>
        <v>5</v>
      </c>
    </row>
    <row r="139" spans="1:8" x14ac:dyDescent="0.25">
      <c r="A139">
        <v>143</v>
      </c>
      <c r="B139">
        <v>5.8</v>
      </c>
      <c r="C139">
        <v>2.7</v>
      </c>
      <c r="D139">
        <v>5.0999999999999996</v>
      </c>
      <c r="E139">
        <v>1.9</v>
      </c>
      <c r="F139" t="s">
        <v>8</v>
      </c>
      <c r="G139">
        <f t="shared" si="4"/>
        <v>3</v>
      </c>
      <c r="H139">
        <f t="shared" si="5"/>
        <v>5</v>
      </c>
    </row>
    <row r="140" spans="1:8" x14ac:dyDescent="0.25">
      <c r="A140">
        <v>144</v>
      </c>
      <c r="B140">
        <v>6.8</v>
      </c>
      <c r="C140">
        <v>3.2</v>
      </c>
      <c r="D140">
        <v>5.9</v>
      </c>
      <c r="E140">
        <v>2.2999999999999998</v>
      </c>
      <c r="F140" t="s">
        <v>8</v>
      </c>
      <c r="G140">
        <f t="shared" si="4"/>
        <v>3</v>
      </c>
      <c r="H140">
        <f t="shared" si="5"/>
        <v>5</v>
      </c>
    </row>
    <row r="141" spans="1:8" x14ac:dyDescent="0.25">
      <c r="A141">
        <v>145</v>
      </c>
      <c r="B141">
        <v>6.7</v>
      </c>
      <c r="C141">
        <v>3.3</v>
      </c>
      <c r="D141">
        <v>5.7</v>
      </c>
      <c r="E141">
        <v>2.5</v>
      </c>
      <c r="F141" t="s">
        <v>8</v>
      </c>
      <c r="G141">
        <f t="shared" si="4"/>
        <v>3</v>
      </c>
      <c r="H141">
        <f t="shared" si="5"/>
        <v>5</v>
      </c>
    </row>
    <row r="142" spans="1:8" x14ac:dyDescent="0.25">
      <c r="A142">
        <v>146</v>
      </c>
      <c r="B142">
        <v>6.7</v>
      </c>
      <c r="C142">
        <v>3</v>
      </c>
      <c r="D142">
        <v>5.2</v>
      </c>
      <c r="E142">
        <v>2.2999999999999998</v>
      </c>
      <c r="F142" t="s">
        <v>8</v>
      </c>
      <c r="G142">
        <f t="shared" si="4"/>
        <v>3</v>
      </c>
      <c r="H142">
        <f t="shared" si="5"/>
        <v>5</v>
      </c>
    </row>
    <row r="143" spans="1:8" x14ac:dyDescent="0.25">
      <c r="A143">
        <v>147</v>
      </c>
      <c r="B143">
        <v>6.3</v>
      </c>
      <c r="C143">
        <v>2.5</v>
      </c>
      <c r="D143">
        <v>5</v>
      </c>
      <c r="E143">
        <v>1.9</v>
      </c>
      <c r="F143" t="s">
        <v>8</v>
      </c>
      <c r="G143">
        <f t="shared" si="4"/>
        <v>3</v>
      </c>
      <c r="H143">
        <f t="shared" si="5"/>
        <v>5</v>
      </c>
    </row>
    <row r="144" spans="1:8" x14ac:dyDescent="0.25">
      <c r="A144">
        <v>148</v>
      </c>
      <c r="B144">
        <v>6.5</v>
      </c>
      <c r="C144">
        <v>3</v>
      </c>
      <c r="D144">
        <v>5.2</v>
      </c>
      <c r="E144">
        <v>2</v>
      </c>
      <c r="F144" t="s">
        <v>8</v>
      </c>
      <c r="G144">
        <f t="shared" si="4"/>
        <v>3</v>
      </c>
      <c r="H144">
        <f t="shared" si="5"/>
        <v>5</v>
      </c>
    </row>
    <row r="145" spans="1:8" x14ac:dyDescent="0.25">
      <c r="A145">
        <v>149</v>
      </c>
      <c r="B145">
        <v>6.2</v>
      </c>
      <c r="C145">
        <v>3.4</v>
      </c>
      <c r="D145">
        <v>5.4</v>
      </c>
      <c r="E145">
        <v>2.2999999999999998</v>
      </c>
      <c r="F145" t="s">
        <v>8</v>
      </c>
      <c r="G145">
        <f t="shared" si="4"/>
        <v>3</v>
      </c>
      <c r="H145">
        <f t="shared" si="5"/>
        <v>5</v>
      </c>
    </row>
    <row r="146" spans="1:8" x14ac:dyDescent="0.25">
      <c r="A146">
        <v>150</v>
      </c>
      <c r="B146">
        <v>5.9</v>
      </c>
      <c r="C146">
        <v>3</v>
      </c>
      <c r="D146">
        <v>5.0999999999999996</v>
      </c>
      <c r="E146">
        <v>1.8</v>
      </c>
      <c r="F146" t="s">
        <v>8</v>
      </c>
      <c r="G146">
        <f t="shared" si="4"/>
        <v>3</v>
      </c>
      <c r="H14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E7"/>
  <sheetViews>
    <sheetView workbookViewId="0">
      <selection activeCell="A3" sqref="A3:E7"/>
    </sheetView>
  </sheetViews>
  <sheetFormatPr defaultRowHeight="15" x14ac:dyDescent="0.25"/>
  <cols>
    <col min="1" max="1" width="13.28515625" bestFit="1" customWidth="1"/>
    <col min="2" max="2" width="19" customWidth="1"/>
    <col min="3" max="3" width="19.28515625" customWidth="1"/>
    <col min="4" max="4" width="18.42578125" customWidth="1"/>
    <col min="5" max="5" width="18.7109375" bestFit="1" customWidth="1"/>
  </cols>
  <sheetData>
    <row r="3" spans="1:5" x14ac:dyDescent="0.25">
      <c r="A3" s="1" t="s">
        <v>11</v>
      </c>
      <c r="B3" t="s">
        <v>17</v>
      </c>
      <c r="C3" t="s">
        <v>18</v>
      </c>
      <c r="D3" t="s">
        <v>19</v>
      </c>
      <c r="E3" t="s">
        <v>20</v>
      </c>
    </row>
    <row r="4" spans="1:5" x14ac:dyDescent="0.25">
      <c r="A4" s="2" t="s">
        <v>6</v>
      </c>
      <c r="B4" s="3">
        <v>4.3</v>
      </c>
      <c r="C4" s="3">
        <v>5.8</v>
      </c>
      <c r="D4" s="3">
        <v>2.2999999999999998</v>
      </c>
      <c r="E4" s="3">
        <v>4.4000000000000004</v>
      </c>
    </row>
    <row r="5" spans="1:5" x14ac:dyDescent="0.25">
      <c r="A5" s="2" t="s">
        <v>7</v>
      </c>
      <c r="B5" s="3">
        <v>4.9000000000000004</v>
      </c>
      <c r="C5" s="3">
        <v>7</v>
      </c>
      <c r="D5" s="3">
        <v>2</v>
      </c>
      <c r="E5" s="3">
        <v>3.4</v>
      </c>
    </row>
    <row r="6" spans="1:5" x14ac:dyDescent="0.25">
      <c r="A6" s="2" t="s">
        <v>8</v>
      </c>
      <c r="B6" s="3">
        <v>4.9000000000000004</v>
      </c>
      <c r="C6" s="3">
        <v>7.9</v>
      </c>
      <c r="D6" s="3">
        <v>2.2000000000000002</v>
      </c>
      <c r="E6" s="3">
        <v>3.8</v>
      </c>
    </row>
    <row r="7" spans="1:5" x14ac:dyDescent="0.25">
      <c r="A7" s="2" t="s">
        <v>12</v>
      </c>
      <c r="B7" s="3">
        <v>4.3</v>
      </c>
      <c r="C7" s="3">
        <v>7.9</v>
      </c>
      <c r="D7" s="3">
        <v>2</v>
      </c>
      <c r="E7" s="3">
        <v>4.4000000000000004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1"/>
  <sheetViews>
    <sheetView workbookViewId="0">
      <selection activeCell="D10" sqref="A1:F151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1</v>
      </c>
      <c r="B2">
        <v>5.0999999999999996</v>
      </c>
      <c r="C2">
        <v>3.5</v>
      </c>
      <c r="D2">
        <v>1.4</v>
      </c>
      <c r="E2">
        <v>0.2</v>
      </c>
      <c r="F2" t="s">
        <v>6</v>
      </c>
    </row>
    <row r="3" spans="1:6" x14ac:dyDescent="0.25">
      <c r="A3">
        <v>2</v>
      </c>
      <c r="B3">
        <v>4.9000000000000004</v>
      </c>
      <c r="C3">
        <v>3</v>
      </c>
      <c r="D3">
        <v>1.4</v>
      </c>
      <c r="E3">
        <v>0.2</v>
      </c>
      <c r="F3" t="s">
        <v>6</v>
      </c>
    </row>
    <row r="4" spans="1:6" x14ac:dyDescent="0.25">
      <c r="A4">
        <v>3</v>
      </c>
      <c r="B4">
        <v>4.7</v>
      </c>
      <c r="C4">
        <v>3.2</v>
      </c>
      <c r="D4">
        <v>1.3</v>
      </c>
      <c r="E4">
        <v>0.2</v>
      </c>
      <c r="F4" t="s">
        <v>6</v>
      </c>
    </row>
    <row r="5" spans="1:6" x14ac:dyDescent="0.25">
      <c r="A5">
        <v>4</v>
      </c>
      <c r="B5">
        <v>4.5999999999999996</v>
      </c>
      <c r="C5">
        <v>3.1</v>
      </c>
      <c r="D5">
        <v>1.5</v>
      </c>
      <c r="E5">
        <v>0.2</v>
      </c>
      <c r="F5" t="s">
        <v>6</v>
      </c>
    </row>
    <row r="6" spans="1:6" x14ac:dyDescent="0.25">
      <c r="A6">
        <v>5</v>
      </c>
      <c r="B6">
        <v>5</v>
      </c>
      <c r="C6">
        <v>3.6</v>
      </c>
      <c r="D6">
        <v>1.4</v>
      </c>
      <c r="E6">
        <v>0.2</v>
      </c>
      <c r="F6" t="s">
        <v>6</v>
      </c>
    </row>
    <row r="7" spans="1:6" x14ac:dyDescent="0.25">
      <c r="A7">
        <v>6</v>
      </c>
      <c r="B7">
        <v>5.4</v>
      </c>
      <c r="C7">
        <v>3.9</v>
      </c>
      <c r="D7">
        <v>1.7</v>
      </c>
      <c r="E7">
        <v>0.4</v>
      </c>
      <c r="F7" t="s">
        <v>6</v>
      </c>
    </row>
    <row r="8" spans="1:6" x14ac:dyDescent="0.25">
      <c r="A8">
        <v>7</v>
      </c>
      <c r="B8">
        <v>4.5999999999999996</v>
      </c>
      <c r="C8">
        <v>3.4</v>
      </c>
      <c r="D8">
        <v>1.4</v>
      </c>
      <c r="E8">
        <v>0.3</v>
      </c>
      <c r="F8" t="s">
        <v>6</v>
      </c>
    </row>
    <row r="9" spans="1:6" x14ac:dyDescent="0.25">
      <c r="A9">
        <v>8</v>
      </c>
      <c r="B9">
        <v>5</v>
      </c>
      <c r="C9">
        <v>3.4</v>
      </c>
      <c r="D9">
        <v>1.5</v>
      </c>
      <c r="E9">
        <v>0.2</v>
      </c>
      <c r="F9" t="s">
        <v>6</v>
      </c>
    </row>
    <row r="10" spans="1:6" x14ac:dyDescent="0.25">
      <c r="A10">
        <v>9</v>
      </c>
      <c r="B10">
        <v>4.4000000000000004</v>
      </c>
      <c r="C10">
        <v>2.9</v>
      </c>
      <c r="D10">
        <v>1.4</v>
      </c>
      <c r="E10">
        <v>0.2</v>
      </c>
      <c r="F10" t="s">
        <v>6</v>
      </c>
    </row>
    <row r="11" spans="1:6" x14ac:dyDescent="0.25">
      <c r="A11">
        <v>10</v>
      </c>
      <c r="B11">
        <v>4.9000000000000004</v>
      </c>
      <c r="C11">
        <v>3.1</v>
      </c>
      <c r="D11">
        <v>1.5</v>
      </c>
      <c r="E11">
        <v>0.1</v>
      </c>
      <c r="F11" t="s">
        <v>6</v>
      </c>
    </row>
    <row r="12" spans="1:6" x14ac:dyDescent="0.25">
      <c r="A12">
        <v>11</v>
      </c>
      <c r="B12">
        <v>5.4</v>
      </c>
      <c r="C12">
        <v>3.7</v>
      </c>
      <c r="D12">
        <v>1.5</v>
      </c>
      <c r="E12">
        <v>0.2</v>
      </c>
      <c r="F12" t="s">
        <v>6</v>
      </c>
    </row>
    <row r="13" spans="1:6" x14ac:dyDescent="0.25">
      <c r="A13">
        <v>12</v>
      </c>
      <c r="B13">
        <v>4.8</v>
      </c>
      <c r="C13">
        <v>3.4</v>
      </c>
      <c r="D13">
        <v>1.6</v>
      </c>
      <c r="E13">
        <v>0.2</v>
      </c>
      <c r="F13" t="s">
        <v>6</v>
      </c>
    </row>
    <row r="14" spans="1:6" x14ac:dyDescent="0.25">
      <c r="A14">
        <v>13</v>
      </c>
      <c r="B14">
        <v>4.8</v>
      </c>
      <c r="C14">
        <v>3</v>
      </c>
      <c r="D14">
        <v>1.4</v>
      </c>
      <c r="E14">
        <v>0.1</v>
      </c>
      <c r="F14" t="s">
        <v>6</v>
      </c>
    </row>
    <row r="15" spans="1:6" x14ac:dyDescent="0.25">
      <c r="A15">
        <v>14</v>
      </c>
      <c r="B15">
        <v>4.3</v>
      </c>
      <c r="C15">
        <v>3</v>
      </c>
      <c r="D15">
        <v>1.1000000000000001</v>
      </c>
      <c r="E15">
        <v>0.1</v>
      </c>
      <c r="F15" t="s">
        <v>6</v>
      </c>
    </row>
    <row r="16" spans="1:6" x14ac:dyDescent="0.25">
      <c r="A16">
        <v>15</v>
      </c>
      <c r="B16">
        <v>5.8</v>
      </c>
      <c r="C16">
        <v>4</v>
      </c>
      <c r="D16">
        <v>1.2</v>
      </c>
      <c r="E16">
        <v>0.2</v>
      </c>
      <c r="F16" t="s">
        <v>6</v>
      </c>
    </row>
    <row r="17" spans="1:6" x14ac:dyDescent="0.25">
      <c r="A17">
        <v>16</v>
      </c>
      <c r="B17">
        <v>5.7</v>
      </c>
      <c r="C17">
        <v>4.4000000000000004</v>
      </c>
      <c r="D17">
        <v>1.5</v>
      </c>
      <c r="E17">
        <v>0.4</v>
      </c>
      <c r="F17" t="s">
        <v>6</v>
      </c>
    </row>
    <row r="18" spans="1:6" x14ac:dyDescent="0.25">
      <c r="A18">
        <v>17</v>
      </c>
      <c r="B18">
        <v>5.4</v>
      </c>
      <c r="C18">
        <v>3.9</v>
      </c>
      <c r="D18">
        <v>1.3</v>
      </c>
      <c r="E18">
        <v>0.4</v>
      </c>
      <c r="F18" t="s">
        <v>6</v>
      </c>
    </row>
    <row r="19" spans="1:6" x14ac:dyDescent="0.25">
      <c r="A19">
        <v>18</v>
      </c>
      <c r="B19">
        <v>5.0999999999999996</v>
      </c>
      <c r="C19">
        <v>3.5</v>
      </c>
      <c r="D19">
        <v>1.4</v>
      </c>
      <c r="E19">
        <v>0.3</v>
      </c>
      <c r="F19" t="s">
        <v>6</v>
      </c>
    </row>
    <row r="20" spans="1:6" x14ac:dyDescent="0.25">
      <c r="A20">
        <v>19</v>
      </c>
      <c r="B20">
        <v>5.7</v>
      </c>
      <c r="C20">
        <v>3.8</v>
      </c>
      <c r="D20">
        <v>1.7</v>
      </c>
      <c r="E20">
        <v>0.3</v>
      </c>
      <c r="F20" t="s">
        <v>6</v>
      </c>
    </row>
    <row r="21" spans="1:6" x14ac:dyDescent="0.25">
      <c r="A21">
        <v>20</v>
      </c>
      <c r="B21">
        <v>5.0999999999999996</v>
      </c>
      <c r="C21">
        <v>3.8</v>
      </c>
      <c r="D21">
        <v>1.5</v>
      </c>
      <c r="E21">
        <v>0.3</v>
      </c>
      <c r="F21" t="s">
        <v>6</v>
      </c>
    </row>
    <row r="22" spans="1:6" x14ac:dyDescent="0.25">
      <c r="A22">
        <v>21</v>
      </c>
      <c r="B22">
        <v>5.4</v>
      </c>
      <c r="C22">
        <v>3.4</v>
      </c>
      <c r="D22">
        <v>1.7</v>
      </c>
      <c r="E22">
        <v>0.2</v>
      </c>
      <c r="F22" t="s">
        <v>6</v>
      </c>
    </row>
    <row r="23" spans="1:6" x14ac:dyDescent="0.25">
      <c r="A23">
        <v>22</v>
      </c>
      <c r="B23">
        <v>5.0999999999999996</v>
      </c>
      <c r="C23">
        <v>3.7</v>
      </c>
      <c r="D23">
        <v>1.5</v>
      </c>
      <c r="E23">
        <v>0.4</v>
      </c>
      <c r="F23" t="s">
        <v>6</v>
      </c>
    </row>
    <row r="24" spans="1:6" x14ac:dyDescent="0.25">
      <c r="A24">
        <v>23</v>
      </c>
      <c r="B24">
        <v>4.5999999999999996</v>
      </c>
      <c r="C24">
        <v>3.6</v>
      </c>
      <c r="D24">
        <v>1</v>
      </c>
      <c r="E24">
        <v>0.2</v>
      </c>
      <c r="F24" t="s">
        <v>6</v>
      </c>
    </row>
    <row r="25" spans="1:6" x14ac:dyDescent="0.25">
      <c r="A25">
        <v>24</v>
      </c>
      <c r="B25">
        <v>5.0999999999999996</v>
      </c>
      <c r="C25">
        <v>3.3</v>
      </c>
      <c r="D25">
        <v>1.7</v>
      </c>
      <c r="E25">
        <v>0.5</v>
      </c>
      <c r="F25" t="s">
        <v>6</v>
      </c>
    </row>
    <row r="26" spans="1:6" x14ac:dyDescent="0.25">
      <c r="A26">
        <v>25</v>
      </c>
      <c r="B26">
        <v>4.8</v>
      </c>
      <c r="C26">
        <v>3.4</v>
      </c>
      <c r="D26">
        <v>1.9</v>
      </c>
      <c r="E26">
        <v>0.2</v>
      </c>
      <c r="F26" t="s">
        <v>6</v>
      </c>
    </row>
    <row r="27" spans="1:6" x14ac:dyDescent="0.25">
      <c r="A27">
        <v>26</v>
      </c>
      <c r="B27">
        <v>5</v>
      </c>
      <c r="C27">
        <v>3</v>
      </c>
      <c r="D27">
        <v>1.6</v>
      </c>
      <c r="E27">
        <v>0.2</v>
      </c>
      <c r="F27" t="s">
        <v>6</v>
      </c>
    </row>
    <row r="28" spans="1:6" x14ac:dyDescent="0.25">
      <c r="A28">
        <v>27</v>
      </c>
      <c r="B28">
        <v>5</v>
      </c>
      <c r="C28">
        <v>3.4</v>
      </c>
      <c r="D28">
        <v>1.6</v>
      </c>
      <c r="E28">
        <v>0.4</v>
      </c>
      <c r="F28" t="s">
        <v>6</v>
      </c>
    </row>
    <row r="29" spans="1:6" x14ac:dyDescent="0.25">
      <c r="A29">
        <v>28</v>
      </c>
      <c r="B29">
        <v>5.2</v>
      </c>
      <c r="C29">
        <v>3.5</v>
      </c>
      <c r="D29">
        <v>1.5</v>
      </c>
      <c r="E29">
        <v>0.2</v>
      </c>
      <c r="F29" t="s">
        <v>6</v>
      </c>
    </row>
    <row r="30" spans="1:6" x14ac:dyDescent="0.25">
      <c r="A30">
        <v>29</v>
      </c>
      <c r="B30">
        <v>5.2</v>
      </c>
      <c r="C30">
        <v>3.4</v>
      </c>
      <c r="D30">
        <v>1.4</v>
      </c>
      <c r="E30">
        <v>0.2</v>
      </c>
      <c r="F30" t="s">
        <v>6</v>
      </c>
    </row>
    <row r="31" spans="1:6" x14ac:dyDescent="0.25">
      <c r="A31">
        <v>30</v>
      </c>
      <c r="B31">
        <v>4.7</v>
      </c>
      <c r="C31">
        <v>3.2</v>
      </c>
      <c r="D31">
        <v>1.6</v>
      </c>
      <c r="E31">
        <v>0.2</v>
      </c>
      <c r="F31" t="s">
        <v>6</v>
      </c>
    </row>
    <row r="32" spans="1:6" x14ac:dyDescent="0.25">
      <c r="A32">
        <v>31</v>
      </c>
      <c r="B32">
        <v>4.8</v>
      </c>
      <c r="C32">
        <v>3.1</v>
      </c>
      <c r="D32">
        <v>1.6</v>
      </c>
      <c r="E32">
        <v>0.2</v>
      </c>
      <c r="F32" t="s">
        <v>6</v>
      </c>
    </row>
    <row r="33" spans="1:6" x14ac:dyDescent="0.25">
      <c r="A33">
        <v>32</v>
      </c>
      <c r="B33">
        <v>5.4</v>
      </c>
      <c r="C33">
        <v>3.4</v>
      </c>
      <c r="D33">
        <v>1.5</v>
      </c>
      <c r="E33">
        <v>0.4</v>
      </c>
      <c r="F33" t="s">
        <v>6</v>
      </c>
    </row>
    <row r="34" spans="1:6" x14ac:dyDescent="0.25">
      <c r="A34">
        <v>33</v>
      </c>
      <c r="B34">
        <v>5.2</v>
      </c>
      <c r="C34">
        <v>4.0999999999999996</v>
      </c>
      <c r="D34">
        <v>1.5</v>
      </c>
      <c r="E34">
        <v>0.1</v>
      </c>
      <c r="F34" t="s">
        <v>6</v>
      </c>
    </row>
    <row r="35" spans="1:6" x14ac:dyDescent="0.25">
      <c r="A35">
        <v>34</v>
      </c>
      <c r="B35">
        <v>5.5</v>
      </c>
      <c r="C35">
        <v>4.2</v>
      </c>
      <c r="D35">
        <v>1.4</v>
      </c>
      <c r="E35">
        <v>0.2</v>
      </c>
      <c r="F35" t="s">
        <v>6</v>
      </c>
    </row>
    <row r="36" spans="1:6" x14ac:dyDescent="0.25">
      <c r="A36">
        <v>35</v>
      </c>
      <c r="B36">
        <v>4.9000000000000004</v>
      </c>
      <c r="C36">
        <v>3.1</v>
      </c>
      <c r="D36">
        <v>1.5</v>
      </c>
      <c r="E36">
        <v>0.1</v>
      </c>
      <c r="F36" t="s">
        <v>6</v>
      </c>
    </row>
    <row r="37" spans="1:6" x14ac:dyDescent="0.25">
      <c r="A37">
        <v>36</v>
      </c>
      <c r="B37">
        <v>5</v>
      </c>
      <c r="C37">
        <v>3.2</v>
      </c>
      <c r="D37">
        <v>1.2</v>
      </c>
      <c r="E37">
        <v>0.2</v>
      </c>
      <c r="F37" t="s">
        <v>6</v>
      </c>
    </row>
    <row r="38" spans="1:6" x14ac:dyDescent="0.25">
      <c r="A38">
        <v>37</v>
      </c>
      <c r="B38">
        <v>5.5</v>
      </c>
      <c r="C38">
        <v>3.5</v>
      </c>
      <c r="D38">
        <v>1.3</v>
      </c>
      <c r="E38">
        <v>0.2</v>
      </c>
      <c r="F38" t="s">
        <v>6</v>
      </c>
    </row>
    <row r="39" spans="1:6" x14ac:dyDescent="0.25">
      <c r="A39">
        <v>38</v>
      </c>
      <c r="B39">
        <v>4.9000000000000004</v>
      </c>
      <c r="C39">
        <v>3.1</v>
      </c>
      <c r="D39">
        <v>1.5</v>
      </c>
      <c r="E39">
        <v>0.1</v>
      </c>
      <c r="F39" t="s">
        <v>6</v>
      </c>
    </row>
    <row r="40" spans="1:6" x14ac:dyDescent="0.25">
      <c r="A40">
        <v>39</v>
      </c>
      <c r="B40">
        <v>4.4000000000000004</v>
      </c>
      <c r="C40">
        <v>3</v>
      </c>
      <c r="D40">
        <v>1.3</v>
      </c>
      <c r="E40">
        <v>0.2</v>
      </c>
      <c r="F40" t="s">
        <v>6</v>
      </c>
    </row>
    <row r="41" spans="1:6" x14ac:dyDescent="0.25">
      <c r="A41">
        <v>40</v>
      </c>
      <c r="B41">
        <v>5.0999999999999996</v>
      </c>
      <c r="C41">
        <v>3.4</v>
      </c>
      <c r="D41">
        <v>1.5</v>
      </c>
      <c r="E41">
        <v>0.2</v>
      </c>
      <c r="F41" t="s">
        <v>6</v>
      </c>
    </row>
    <row r="42" spans="1:6" x14ac:dyDescent="0.25">
      <c r="A42">
        <v>41</v>
      </c>
      <c r="B42">
        <v>5</v>
      </c>
      <c r="C42">
        <v>3.5</v>
      </c>
      <c r="D42">
        <v>1.3</v>
      </c>
      <c r="E42">
        <v>0.3</v>
      </c>
      <c r="F42" t="s">
        <v>6</v>
      </c>
    </row>
    <row r="43" spans="1:6" x14ac:dyDescent="0.25">
      <c r="A43">
        <v>42</v>
      </c>
      <c r="B43">
        <v>4.5</v>
      </c>
      <c r="C43">
        <v>2.2999999999999998</v>
      </c>
      <c r="D43">
        <v>1.3</v>
      </c>
      <c r="E43">
        <v>0.3</v>
      </c>
      <c r="F43" t="s">
        <v>6</v>
      </c>
    </row>
    <row r="44" spans="1:6" x14ac:dyDescent="0.25">
      <c r="A44">
        <v>43</v>
      </c>
      <c r="B44">
        <v>4.4000000000000004</v>
      </c>
      <c r="C44">
        <v>3.2</v>
      </c>
      <c r="D44">
        <v>1.3</v>
      </c>
      <c r="E44">
        <v>0.2</v>
      </c>
      <c r="F44" t="s">
        <v>6</v>
      </c>
    </row>
    <row r="45" spans="1:6" x14ac:dyDescent="0.25">
      <c r="A45">
        <v>44</v>
      </c>
      <c r="B45">
        <v>5</v>
      </c>
      <c r="C45">
        <v>3.5</v>
      </c>
      <c r="D45">
        <v>1.6</v>
      </c>
      <c r="E45">
        <v>0.6</v>
      </c>
      <c r="F45" t="s">
        <v>6</v>
      </c>
    </row>
    <row r="46" spans="1:6" x14ac:dyDescent="0.25">
      <c r="A46">
        <v>45</v>
      </c>
      <c r="B46">
        <v>5.0999999999999996</v>
      </c>
      <c r="C46">
        <v>3.8</v>
      </c>
      <c r="D46">
        <v>1.9</v>
      </c>
      <c r="E46">
        <v>0.4</v>
      </c>
      <c r="F46" t="s">
        <v>6</v>
      </c>
    </row>
    <row r="47" spans="1:6" x14ac:dyDescent="0.25">
      <c r="A47">
        <v>46</v>
      </c>
      <c r="B47">
        <v>4.8</v>
      </c>
      <c r="C47">
        <v>3</v>
      </c>
      <c r="D47">
        <v>1.4</v>
      </c>
      <c r="E47">
        <v>0.3</v>
      </c>
      <c r="F47" t="s">
        <v>6</v>
      </c>
    </row>
    <row r="48" spans="1:6" x14ac:dyDescent="0.25">
      <c r="A48">
        <v>47</v>
      </c>
      <c r="B48">
        <v>5.0999999999999996</v>
      </c>
      <c r="C48">
        <v>3.8</v>
      </c>
      <c r="D48">
        <v>1.6</v>
      </c>
      <c r="E48">
        <v>0.2</v>
      </c>
      <c r="F48" t="s">
        <v>6</v>
      </c>
    </row>
    <row r="49" spans="1:6" x14ac:dyDescent="0.25">
      <c r="A49">
        <v>48</v>
      </c>
      <c r="B49">
        <v>4.5999999999999996</v>
      </c>
      <c r="C49">
        <v>3.2</v>
      </c>
      <c r="D49">
        <v>1.4</v>
      </c>
      <c r="E49">
        <v>0.2</v>
      </c>
      <c r="F49" t="s">
        <v>6</v>
      </c>
    </row>
    <row r="50" spans="1:6" x14ac:dyDescent="0.25">
      <c r="A50">
        <v>49</v>
      </c>
      <c r="B50">
        <v>5.3</v>
      </c>
      <c r="C50">
        <v>3.7</v>
      </c>
      <c r="D50">
        <v>1.5</v>
      </c>
      <c r="E50">
        <v>0.2</v>
      </c>
      <c r="F50" t="s">
        <v>6</v>
      </c>
    </row>
    <row r="51" spans="1:6" x14ac:dyDescent="0.25">
      <c r="A51">
        <v>50</v>
      </c>
      <c r="B51">
        <v>5</v>
      </c>
      <c r="C51">
        <v>3.3</v>
      </c>
      <c r="D51">
        <v>1.4</v>
      </c>
      <c r="E51">
        <v>0.2</v>
      </c>
      <c r="F51" t="s">
        <v>6</v>
      </c>
    </row>
    <row r="52" spans="1:6" x14ac:dyDescent="0.25">
      <c r="A52">
        <v>51</v>
      </c>
      <c r="B52">
        <v>7</v>
      </c>
      <c r="C52">
        <v>3.2</v>
      </c>
      <c r="D52">
        <v>4.7</v>
      </c>
      <c r="E52">
        <v>1.4</v>
      </c>
      <c r="F52" t="s">
        <v>7</v>
      </c>
    </row>
    <row r="53" spans="1:6" x14ac:dyDescent="0.25">
      <c r="A53">
        <v>52</v>
      </c>
      <c r="B53">
        <v>6.4</v>
      </c>
      <c r="C53">
        <v>3.2</v>
      </c>
      <c r="D53">
        <v>4.5</v>
      </c>
      <c r="E53">
        <v>1.5</v>
      </c>
      <c r="F53" t="s">
        <v>7</v>
      </c>
    </row>
    <row r="54" spans="1:6" x14ac:dyDescent="0.25">
      <c r="A54">
        <v>53</v>
      </c>
      <c r="B54">
        <v>6.9</v>
      </c>
      <c r="C54">
        <v>3.1</v>
      </c>
      <c r="D54">
        <v>4.9000000000000004</v>
      </c>
      <c r="E54">
        <v>1.5</v>
      </c>
      <c r="F54" t="s">
        <v>7</v>
      </c>
    </row>
    <row r="55" spans="1:6" x14ac:dyDescent="0.25">
      <c r="A55">
        <v>54</v>
      </c>
      <c r="B55">
        <v>5.5</v>
      </c>
      <c r="C55">
        <v>2.2999999999999998</v>
      </c>
      <c r="D55">
        <v>4</v>
      </c>
      <c r="E55">
        <v>1.3</v>
      </c>
      <c r="F55" t="s">
        <v>7</v>
      </c>
    </row>
    <row r="56" spans="1:6" x14ac:dyDescent="0.25">
      <c r="A56">
        <v>55</v>
      </c>
      <c r="B56">
        <v>6.5</v>
      </c>
      <c r="C56">
        <v>2.8</v>
      </c>
      <c r="D56">
        <v>4.5999999999999996</v>
      </c>
      <c r="E56">
        <v>1.5</v>
      </c>
      <c r="F56" t="s">
        <v>7</v>
      </c>
    </row>
    <row r="57" spans="1:6" x14ac:dyDescent="0.25">
      <c r="A57">
        <v>56</v>
      </c>
      <c r="B57">
        <v>5.7</v>
      </c>
      <c r="C57">
        <v>2.8</v>
      </c>
      <c r="D57">
        <v>4.5</v>
      </c>
      <c r="E57">
        <v>1.3</v>
      </c>
      <c r="F57" t="s">
        <v>7</v>
      </c>
    </row>
    <row r="58" spans="1:6" x14ac:dyDescent="0.25">
      <c r="A58">
        <v>57</v>
      </c>
      <c r="B58">
        <v>6.3</v>
      </c>
      <c r="C58">
        <v>3.3</v>
      </c>
      <c r="D58">
        <v>4.7</v>
      </c>
      <c r="E58">
        <v>1.6</v>
      </c>
      <c r="F58" t="s">
        <v>7</v>
      </c>
    </row>
    <row r="59" spans="1:6" x14ac:dyDescent="0.25">
      <c r="A59">
        <v>58</v>
      </c>
      <c r="B59">
        <v>4.9000000000000004</v>
      </c>
      <c r="C59">
        <v>2.4</v>
      </c>
      <c r="D59">
        <v>3.3</v>
      </c>
      <c r="E59">
        <v>1</v>
      </c>
      <c r="F59" t="s">
        <v>7</v>
      </c>
    </row>
    <row r="60" spans="1:6" x14ac:dyDescent="0.25">
      <c r="A60">
        <v>59</v>
      </c>
      <c r="B60">
        <v>6.6</v>
      </c>
      <c r="C60">
        <v>2.9</v>
      </c>
      <c r="D60">
        <v>4.5999999999999996</v>
      </c>
      <c r="E60">
        <v>1.3</v>
      </c>
      <c r="F60" t="s">
        <v>7</v>
      </c>
    </row>
    <row r="61" spans="1:6" x14ac:dyDescent="0.25">
      <c r="A61">
        <v>60</v>
      </c>
      <c r="B61">
        <v>5.2</v>
      </c>
      <c r="C61">
        <v>2.7</v>
      </c>
      <c r="D61">
        <v>3.9</v>
      </c>
      <c r="E61">
        <v>1.4</v>
      </c>
      <c r="F61" t="s">
        <v>7</v>
      </c>
    </row>
    <row r="62" spans="1:6" x14ac:dyDescent="0.25">
      <c r="A62">
        <v>61</v>
      </c>
      <c r="B62">
        <v>5</v>
      </c>
      <c r="C62">
        <v>2</v>
      </c>
      <c r="D62">
        <v>3.5</v>
      </c>
      <c r="E62">
        <v>1</v>
      </c>
      <c r="F62" t="s">
        <v>7</v>
      </c>
    </row>
    <row r="63" spans="1:6" x14ac:dyDescent="0.25">
      <c r="A63">
        <v>62</v>
      </c>
      <c r="B63">
        <v>5.9</v>
      </c>
      <c r="C63">
        <v>3</v>
      </c>
      <c r="D63">
        <v>4.2</v>
      </c>
      <c r="E63">
        <v>1.5</v>
      </c>
      <c r="F63" t="s">
        <v>7</v>
      </c>
    </row>
    <row r="64" spans="1:6" x14ac:dyDescent="0.25">
      <c r="A64">
        <v>63</v>
      </c>
      <c r="B64">
        <v>6</v>
      </c>
      <c r="C64">
        <v>2.2000000000000002</v>
      </c>
      <c r="D64">
        <v>4</v>
      </c>
      <c r="E64">
        <v>1</v>
      </c>
      <c r="F64" t="s">
        <v>7</v>
      </c>
    </row>
    <row r="65" spans="1:6" x14ac:dyDescent="0.25">
      <c r="A65">
        <v>64</v>
      </c>
      <c r="B65">
        <v>6.1</v>
      </c>
      <c r="C65">
        <v>2.9</v>
      </c>
      <c r="D65">
        <v>4.7</v>
      </c>
      <c r="E65">
        <v>1.4</v>
      </c>
      <c r="F65" t="s">
        <v>7</v>
      </c>
    </row>
    <row r="66" spans="1:6" x14ac:dyDescent="0.25">
      <c r="A66">
        <v>65</v>
      </c>
      <c r="B66">
        <v>5.6</v>
      </c>
      <c r="C66">
        <v>2.9</v>
      </c>
      <c r="D66">
        <v>3.6</v>
      </c>
      <c r="E66">
        <v>1.3</v>
      </c>
      <c r="F66" t="s">
        <v>7</v>
      </c>
    </row>
    <row r="67" spans="1:6" x14ac:dyDescent="0.25">
      <c r="A67">
        <v>66</v>
      </c>
      <c r="B67">
        <v>6.7</v>
      </c>
      <c r="C67">
        <v>3.1</v>
      </c>
      <c r="D67">
        <v>4.4000000000000004</v>
      </c>
      <c r="E67">
        <v>1.4</v>
      </c>
      <c r="F67" t="s">
        <v>7</v>
      </c>
    </row>
    <row r="68" spans="1:6" x14ac:dyDescent="0.25">
      <c r="A68">
        <v>67</v>
      </c>
      <c r="B68">
        <v>5.6</v>
      </c>
      <c r="C68">
        <v>3</v>
      </c>
      <c r="D68">
        <v>4.5</v>
      </c>
      <c r="E68">
        <v>1.5</v>
      </c>
      <c r="F68" t="s">
        <v>7</v>
      </c>
    </row>
    <row r="69" spans="1:6" x14ac:dyDescent="0.25">
      <c r="A69">
        <v>68</v>
      </c>
      <c r="B69">
        <v>5.8</v>
      </c>
      <c r="C69">
        <v>2.7</v>
      </c>
      <c r="D69">
        <v>4.0999999999999996</v>
      </c>
      <c r="E69">
        <v>1</v>
      </c>
      <c r="F69" t="s">
        <v>7</v>
      </c>
    </row>
    <row r="70" spans="1:6" x14ac:dyDescent="0.25">
      <c r="A70">
        <v>69</v>
      </c>
      <c r="B70">
        <v>6.2</v>
      </c>
      <c r="C70">
        <v>2.2000000000000002</v>
      </c>
      <c r="D70">
        <v>4.5</v>
      </c>
      <c r="E70">
        <v>1.5</v>
      </c>
      <c r="F70" t="s">
        <v>7</v>
      </c>
    </row>
    <row r="71" spans="1:6" x14ac:dyDescent="0.25">
      <c r="A71">
        <v>70</v>
      </c>
      <c r="B71">
        <v>5.6</v>
      </c>
      <c r="C71">
        <v>2.5</v>
      </c>
      <c r="D71">
        <v>3.9</v>
      </c>
      <c r="E71">
        <v>1.1000000000000001</v>
      </c>
      <c r="F71" t="s">
        <v>7</v>
      </c>
    </row>
    <row r="72" spans="1:6" x14ac:dyDescent="0.25">
      <c r="A72">
        <v>71</v>
      </c>
      <c r="B72">
        <v>5.9</v>
      </c>
      <c r="C72">
        <v>3.2</v>
      </c>
      <c r="D72">
        <v>4.8</v>
      </c>
      <c r="E72">
        <v>1.8</v>
      </c>
      <c r="F72" t="s">
        <v>7</v>
      </c>
    </row>
    <row r="73" spans="1:6" x14ac:dyDescent="0.25">
      <c r="A73">
        <v>72</v>
      </c>
      <c r="B73">
        <v>6.1</v>
      </c>
      <c r="C73">
        <v>2.8</v>
      </c>
      <c r="D73">
        <v>4</v>
      </c>
      <c r="E73">
        <v>1.3</v>
      </c>
      <c r="F73" t="s">
        <v>7</v>
      </c>
    </row>
    <row r="74" spans="1:6" x14ac:dyDescent="0.25">
      <c r="A74">
        <v>73</v>
      </c>
      <c r="B74">
        <v>6.3</v>
      </c>
      <c r="C74">
        <v>2.5</v>
      </c>
      <c r="D74">
        <v>4.9000000000000004</v>
      </c>
      <c r="E74">
        <v>1.5</v>
      </c>
      <c r="F74" t="s">
        <v>7</v>
      </c>
    </row>
    <row r="75" spans="1:6" x14ac:dyDescent="0.25">
      <c r="A75">
        <v>74</v>
      </c>
      <c r="B75">
        <v>6.1</v>
      </c>
      <c r="C75">
        <v>2.8</v>
      </c>
      <c r="D75">
        <v>4.7</v>
      </c>
      <c r="E75">
        <v>1.2</v>
      </c>
      <c r="F75" t="s">
        <v>7</v>
      </c>
    </row>
    <row r="76" spans="1:6" x14ac:dyDescent="0.25">
      <c r="A76">
        <v>75</v>
      </c>
      <c r="B76">
        <v>6.4</v>
      </c>
      <c r="C76">
        <v>2.9</v>
      </c>
      <c r="D76">
        <v>4.3</v>
      </c>
      <c r="E76">
        <v>1.3</v>
      </c>
      <c r="F76" t="s">
        <v>7</v>
      </c>
    </row>
    <row r="77" spans="1:6" x14ac:dyDescent="0.25">
      <c r="A77">
        <v>76</v>
      </c>
      <c r="B77">
        <v>6.6</v>
      </c>
      <c r="C77">
        <v>3</v>
      </c>
      <c r="D77">
        <v>4.4000000000000004</v>
      </c>
      <c r="E77">
        <v>1.4</v>
      </c>
      <c r="F77" t="s">
        <v>7</v>
      </c>
    </row>
    <row r="78" spans="1:6" x14ac:dyDescent="0.25">
      <c r="A78">
        <v>77</v>
      </c>
      <c r="B78">
        <v>6.8</v>
      </c>
      <c r="C78">
        <v>2.8</v>
      </c>
      <c r="D78">
        <v>4.8</v>
      </c>
      <c r="E78">
        <v>1.4</v>
      </c>
      <c r="F78" t="s">
        <v>7</v>
      </c>
    </row>
    <row r="79" spans="1:6" x14ac:dyDescent="0.25">
      <c r="A79">
        <v>78</v>
      </c>
      <c r="B79">
        <v>6.7</v>
      </c>
      <c r="C79">
        <v>3</v>
      </c>
      <c r="D79">
        <v>5</v>
      </c>
      <c r="E79">
        <v>1.7</v>
      </c>
      <c r="F79" t="s">
        <v>7</v>
      </c>
    </row>
    <row r="80" spans="1:6" x14ac:dyDescent="0.25">
      <c r="A80">
        <v>79</v>
      </c>
      <c r="B80">
        <v>6</v>
      </c>
      <c r="C80">
        <v>2.9</v>
      </c>
      <c r="D80">
        <v>4.5</v>
      </c>
      <c r="E80">
        <v>1.5</v>
      </c>
      <c r="F80" t="s">
        <v>7</v>
      </c>
    </row>
    <row r="81" spans="1:6" x14ac:dyDescent="0.25">
      <c r="A81">
        <v>80</v>
      </c>
      <c r="B81">
        <v>5.7</v>
      </c>
      <c r="C81">
        <v>2.6</v>
      </c>
      <c r="D81">
        <v>3.5</v>
      </c>
      <c r="E81">
        <v>1</v>
      </c>
      <c r="F81" t="s">
        <v>7</v>
      </c>
    </row>
    <row r="82" spans="1:6" x14ac:dyDescent="0.25">
      <c r="A82">
        <v>81</v>
      </c>
      <c r="B82">
        <v>5.5</v>
      </c>
      <c r="C82">
        <v>2.4</v>
      </c>
      <c r="D82">
        <v>3.8</v>
      </c>
      <c r="E82">
        <v>1.1000000000000001</v>
      </c>
      <c r="F82" t="s">
        <v>7</v>
      </c>
    </row>
    <row r="83" spans="1:6" x14ac:dyDescent="0.25">
      <c r="A83">
        <v>82</v>
      </c>
      <c r="B83">
        <v>5.5</v>
      </c>
      <c r="C83">
        <v>2.4</v>
      </c>
      <c r="D83">
        <v>3.7</v>
      </c>
      <c r="E83">
        <v>1</v>
      </c>
      <c r="F83" t="s">
        <v>7</v>
      </c>
    </row>
    <row r="84" spans="1:6" x14ac:dyDescent="0.25">
      <c r="A84">
        <v>83</v>
      </c>
      <c r="B84">
        <v>5.8</v>
      </c>
      <c r="C84">
        <v>2.7</v>
      </c>
      <c r="D84">
        <v>3.9</v>
      </c>
      <c r="E84">
        <v>1.2</v>
      </c>
      <c r="F84" t="s">
        <v>7</v>
      </c>
    </row>
    <row r="85" spans="1:6" x14ac:dyDescent="0.25">
      <c r="A85">
        <v>84</v>
      </c>
      <c r="B85">
        <v>6</v>
      </c>
      <c r="C85">
        <v>2.7</v>
      </c>
      <c r="D85">
        <v>5.0999999999999996</v>
      </c>
      <c r="E85">
        <v>1.6</v>
      </c>
      <c r="F85" t="s">
        <v>7</v>
      </c>
    </row>
    <row r="86" spans="1:6" x14ac:dyDescent="0.25">
      <c r="A86">
        <v>85</v>
      </c>
      <c r="B86">
        <v>5.4</v>
      </c>
      <c r="C86">
        <v>3</v>
      </c>
      <c r="D86">
        <v>4.5</v>
      </c>
      <c r="E86">
        <v>1.5</v>
      </c>
      <c r="F86" t="s">
        <v>7</v>
      </c>
    </row>
    <row r="87" spans="1:6" x14ac:dyDescent="0.25">
      <c r="A87">
        <v>86</v>
      </c>
      <c r="B87">
        <v>6</v>
      </c>
      <c r="C87">
        <v>3.4</v>
      </c>
      <c r="D87">
        <v>4.5</v>
      </c>
      <c r="E87">
        <v>1.6</v>
      </c>
      <c r="F87" t="s">
        <v>7</v>
      </c>
    </row>
    <row r="88" spans="1:6" x14ac:dyDescent="0.25">
      <c r="A88">
        <v>87</v>
      </c>
      <c r="B88">
        <v>6.7</v>
      </c>
      <c r="C88">
        <v>3.1</v>
      </c>
      <c r="D88">
        <v>4.7</v>
      </c>
      <c r="E88">
        <v>1.5</v>
      </c>
      <c r="F88" t="s">
        <v>7</v>
      </c>
    </row>
    <row r="89" spans="1:6" x14ac:dyDescent="0.25">
      <c r="A89">
        <v>88</v>
      </c>
      <c r="B89">
        <v>6.3</v>
      </c>
      <c r="C89">
        <v>2.2999999999999998</v>
      </c>
      <c r="D89">
        <v>4.4000000000000004</v>
      </c>
      <c r="E89">
        <v>1.3</v>
      </c>
      <c r="F89" t="s">
        <v>7</v>
      </c>
    </row>
    <row r="90" spans="1:6" x14ac:dyDescent="0.25">
      <c r="A90">
        <v>89</v>
      </c>
      <c r="B90">
        <v>5.6</v>
      </c>
      <c r="C90">
        <v>3</v>
      </c>
      <c r="D90">
        <v>4.0999999999999996</v>
      </c>
      <c r="E90">
        <v>1.3</v>
      </c>
      <c r="F90" t="s">
        <v>7</v>
      </c>
    </row>
    <row r="91" spans="1:6" x14ac:dyDescent="0.25">
      <c r="A91">
        <v>90</v>
      </c>
      <c r="B91">
        <v>5.5</v>
      </c>
      <c r="C91">
        <v>2.5</v>
      </c>
      <c r="D91">
        <v>4</v>
      </c>
      <c r="E91">
        <v>1.3</v>
      </c>
      <c r="F91" t="s">
        <v>7</v>
      </c>
    </row>
    <row r="92" spans="1:6" x14ac:dyDescent="0.25">
      <c r="A92">
        <v>91</v>
      </c>
      <c r="B92">
        <v>5.5</v>
      </c>
      <c r="C92">
        <v>2.6</v>
      </c>
      <c r="D92">
        <v>4.4000000000000004</v>
      </c>
      <c r="E92">
        <v>1.2</v>
      </c>
      <c r="F92" t="s">
        <v>7</v>
      </c>
    </row>
    <row r="93" spans="1:6" x14ac:dyDescent="0.25">
      <c r="A93">
        <v>92</v>
      </c>
      <c r="B93">
        <v>6.1</v>
      </c>
      <c r="C93">
        <v>3</v>
      </c>
      <c r="D93">
        <v>4.5999999999999996</v>
      </c>
      <c r="E93">
        <v>1.4</v>
      </c>
      <c r="F93" t="s">
        <v>7</v>
      </c>
    </row>
    <row r="94" spans="1:6" x14ac:dyDescent="0.25">
      <c r="A94">
        <v>93</v>
      </c>
      <c r="B94">
        <v>5.8</v>
      </c>
      <c r="C94">
        <v>2.6</v>
      </c>
      <c r="D94">
        <v>4</v>
      </c>
      <c r="E94">
        <v>1.2</v>
      </c>
      <c r="F94" t="s">
        <v>7</v>
      </c>
    </row>
    <row r="95" spans="1:6" x14ac:dyDescent="0.25">
      <c r="A95">
        <v>94</v>
      </c>
      <c r="B95">
        <v>5</v>
      </c>
      <c r="C95">
        <v>2.2999999999999998</v>
      </c>
      <c r="D95">
        <v>3.3</v>
      </c>
      <c r="E95">
        <v>1</v>
      </c>
      <c r="F95" t="s">
        <v>7</v>
      </c>
    </row>
    <row r="96" spans="1:6" x14ac:dyDescent="0.25">
      <c r="A96">
        <v>95</v>
      </c>
      <c r="B96">
        <v>5.6</v>
      </c>
      <c r="C96">
        <v>2.7</v>
      </c>
      <c r="D96">
        <v>4.2</v>
      </c>
      <c r="E96">
        <v>1.3</v>
      </c>
      <c r="F96" t="s">
        <v>7</v>
      </c>
    </row>
    <row r="97" spans="1:6" x14ac:dyDescent="0.25">
      <c r="A97">
        <v>96</v>
      </c>
      <c r="B97">
        <v>5.7</v>
      </c>
      <c r="C97">
        <v>3</v>
      </c>
      <c r="D97">
        <v>4.2</v>
      </c>
      <c r="E97">
        <v>1.2</v>
      </c>
      <c r="F97" t="s">
        <v>7</v>
      </c>
    </row>
    <row r="98" spans="1:6" x14ac:dyDescent="0.25">
      <c r="A98">
        <v>97</v>
      </c>
      <c r="B98">
        <v>5.7</v>
      </c>
      <c r="C98">
        <v>2.9</v>
      </c>
      <c r="D98">
        <v>4.2</v>
      </c>
      <c r="E98">
        <v>1.3</v>
      </c>
      <c r="F98" t="s">
        <v>7</v>
      </c>
    </row>
    <row r="99" spans="1:6" x14ac:dyDescent="0.25">
      <c r="A99">
        <v>98</v>
      </c>
      <c r="B99">
        <v>6.2</v>
      </c>
      <c r="C99">
        <v>2.9</v>
      </c>
      <c r="D99">
        <v>4.3</v>
      </c>
      <c r="E99">
        <v>1.3</v>
      </c>
      <c r="F99" t="s">
        <v>7</v>
      </c>
    </row>
    <row r="100" spans="1:6" x14ac:dyDescent="0.25">
      <c r="A100">
        <v>99</v>
      </c>
      <c r="B100">
        <v>5.0999999999999996</v>
      </c>
      <c r="C100">
        <v>2.5</v>
      </c>
      <c r="D100">
        <v>3</v>
      </c>
      <c r="E100">
        <v>1.1000000000000001</v>
      </c>
      <c r="F100" t="s">
        <v>7</v>
      </c>
    </row>
    <row r="101" spans="1:6" x14ac:dyDescent="0.25">
      <c r="A101">
        <v>100</v>
      </c>
      <c r="B101">
        <v>5.7</v>
      </c>
      <c r="C101">
        <v>2.8</v>
      </c>
      <c r="D101">
        <v>4.0999999999999996</v>
      </c>
      <c r="E101">
        <v>1.3</v>
      </c>
      <c r="F101" t="s">
        <v>7</v>
      </c>
    </row>
    <row r="102" spans="1:6" x14ac:dyDescent="0.25">
      <c r="A102">
        <v>101</v>
      </c>
      <c r="B102">
        <v>6.3</v>
      </c>
      <c r="C102">
        <v>3.3</v>
      </c>
      <c r="D102">
        <v>6</v>
      </c>
      <c r="E102">
        <v>2.5</v>
      </c>
      <c r="F102" t="s">
        <v>8</v>
      </c>
    </row>
    <row r="103" spans="1:6" x14ac:dyDescent="0.25">
      <c r="A103">
        <v>102</v>
      </c>
      <c r="B103">
        <v>5.8</v>
      </c>
      <c r="C103">
        <v>2.7</v>
      </c>
      <c r="D103">
        <v>5.0999999999999996</v>
      </c>
      <c r="E103">
        <v>1.9</v>
      </c>
      <c r="F103" t="s">
        <v>8</v>
      </c>
    </row>
    <row r="104" spans="1:6" x14ac:dyDescent="0.25">
      <c r="A104">
        <v>103</v>
      </c>
      <c r="B104">
        <v>7.1</v>
      </c>
      <c r="C104">
        <v>3</v>
      </c>
      <c r="D104">
        <v>5.9</v>
      </c>
      <c r="E104">
        <v>2.1</v>
      </c>
      <c r="F104" t="s">
        <v>8</v>
      </c>
    </row>
    <row r="105" spans="1:6" x14ac:dyDescent="0.25">
      <c r="A105">
        <v>104</v>
      </c>
      <c r="B105">
        <v>6.3</v>
      </c>
      <c r="C105">
        <v>2.9</v>
      </c>
      <c r="D105">
        <v>5.6</v>
      </c>
      <c r="E105">
        <v>1.8</v>
      </c>
      <c r="F105" t="s">
        <v>8</v>
      </c>
    </row>
    <row r="106" spans="1:6" x14ac:dyDescent="0.25">
      <c r="A106">
        <v>105</v>
      </c>
      <c r="B106">
        <v>6.5</v>
      </c>
      <c r="C106">
        <v>3</v>
      </c>
      <c r="D106">
        <v>5.8</v>
      </c>
      <c r="E106">
        <v>2.2000000000000002</v>
      </c>
      <c r="F106" t="s">
        <v>8</v>
      </c>
    </row>
    <row r="107" spans="1:6" x14ac:dyDescent="0.25">
      <c r="A107">
        <v>106</v>
      </c>
      <c r="B107">
        <v>7.6</v>
      </c>
      <c r="C107">
        <v>3</v>
      </c>
      <c r="D107">
        <v>6.6</v>
      </c>
      <c r="E107">
        <v>2.1</v>
      </c>
      <c r="F107" t="s">
        <v>8</v>
      </c>
    </row>
    <row r="108" spans="1:6" x14ac:dyDescent="0.25">
      <c r="A108">
        <v>107</v>
      </c>
      <c r="B108">
        <v>4.9000000000000004</v>
      </c>
      <c r="C108">
        <v>2.5</v>
      </c>
      <c r="D108">
        <v>4.5</v>
      </c>
      <c r="E108">
        <v>1.7</v>
      </c>
      <c r="F108" t="s">
        <v>8</v>
      </c>
    </row>
    <row r="109" spans="1:6" x14ac:dyDescent="0.25">
      <c r="A109">
        <v>108</v>
      </c>
      <c r="B109">
        <v>7.3</v>
      </c>
      <c r="C109">
        <v>2.9</v>
      </c>
      <c r="D109">
        <v>6.3</v>
      </c>
      <c r="E109">
        <v>1.8</v>
      </c>
      <c r="F109" t="s">
        <v>8</v>
      </c>
    </row>
    <row r="110" spans="1:6" x14ac:dyDescent="0.25">
      <c r="A110">
        <v>109</v>
      </c>
      <c r="B110">
        <v>6.7</v>
      </c>
      <c r="C110">
        <v>2.5</v>
      </c>
      <c r="D110">
        <v>5.8</v>
      </c>
      <c r="E110">
        <v>1.8</v>
      </c>
      <c r="F110" t="s">
        <v>8</v>
      </c>
    </row>
    <row r="111" spans="1:6" x14ac:dyDescent="0.25">
      <c r="A111">
        <v>110</v>
      </c>
      <c r="B111">
        <v>7.2</v>
      </c>
      <c r="C111">
        <v>3.6</v>
      </c>
      <c r="D111">
        <v>6.1</v>
      </c>
      <c r="E111">
        <v>2.5</v>
      </c>
      <c r="F111" t="s">
        <v>8</v>
      </c>
    </row>
    <row r="112" spans="1:6" x14ac:dyDescent="0.25">
      <c r="A112">
        <v>111</v>
      </c>
      <c r="B112">
        <v>6.5</v>
      </c>
      <c r="C112">
        <v>3.2</v>
      </c>
      <c r="D112">
        <v>5.0999999999999996</v>
      </c>
      <c r="E112">
        <v>2</v>
      </c>
      <c r="F112" t="s">
        <v>8</v>
      </c>
    </row>
    <row r="113" spans="1:6" x14ac:dyDescent="0.25">
      <c r="A113">
        <v>112</v>
      </c>
      <c r="B113">
        <v>6.4</v>
      </c>
      <c r="C113">
        <v>2.7</v>
      </c>
      <c r="D113">
        <v>5.3</v>
      </c>
      <c r="E113">
        <v>1.9</v>
      </c>
      <c r="F113" t="s">
        <v>8</v>
      </c>
    </row>
    <row r="114" spans="1:6" x14ac:dyDescent="0.25">
      <c r="A114">
        <v>113</v>
      </c>
      <c r="B114">
        <v>6.8</v>
      </c>
      <c r="C114">
        <v>3</v>
      </c>
      <c r="D114">
        <v>5.5</v>
      </c>
      <c r="E114">
        <v>2.1</v>
      </c>
      <c r="F114" t="s">
        <v>8</v>
      </c>
    </row>
    <row r="115" spans="1:6" x14ac:dyDescent="0.25">
      <c r="A115">
        <v>114</v>
      </c>
      <c r="B115">
        <v>5.7</v>
      </c>
      <c r="C115">
        <v>2.5</v>
      </c>
      <c r="D115">
        <v>5</v>
      </c>
      <c r="E115">
        <v>2</v>
      </c>
      <c r="F115" t="s">
        <v>8</v>
      </c>
    </row>
    <row r="116" spans="1:6" x14ac:dyDescent="0.25">
      <c r="A116">
        <v>115</v>
      </c>
      <c r="B116">
        <v>5.8</v>
      </c>
      <c r="C116">
        <v>2.8</v>
      </c>
      <c r="D116">
        <v>5.0999999999999996</v>
      </c>
      <c r="E116">
        <v>2.4</v>
      </c>
      <c r="F116" t="s">
        <v>8</v>
      </c>
    </row>
    <row r="117" spans="1:6" x14ac:dyDescent="0.25">
      <c r="A117">
        <v>116</v>
      </c>
      <c r="B117">
        <v>6.4</v>
      </c>
      <c r="C117">
        <v>3.2</v>
      </c>
      <c r="D117">
        <v>5.3</v>
      </c>
      <c r="E117">
        <v>2.2999999999999998</v>
      </c>
      <c r="F117" t="s">
        <v>8</v>
      </c>
    </row>
    <row r="118" spans="1:6" x14ac:dyDescent="0.25">
      <c r="A118">
        <v>117</v>
      </c>
      <c r="B118">
        <v>6.5</v>
      </c>
      <c r="C118">
        <v>3</v>
      </c>
      <c r="D118">
        <v>5.5</v>
      </c>
      <c r="E118">
        <v>1.8</v>
      </c>
      <c r="F118" t="s">
        <v>8</v>
      </c>
    </row>
    <row r="119" spans="1:6" x14ac:dyDescent="0.25">
      <c r="A119">
        <v>118</v>
      </c>
      <c r="B119">
        <v>7.7</v>
      </c>
      <c r="C119">
        <v>3.8</v>
      </c>
      <c r="D119">
        <v>6.7</v>
      </c>
      <c r="E119">
        <v>2.2000000000000002</v>
      </c>
      <c r="F119" t="s">
        <v>8</v>
      </c>
    </row>
    <row r="120" spans="1:6" x14ac:dyDescent="0.25">
      <c r="A120">
        <v>119</v>
      </c>
      <c r="B120">
        <v>7.7</v>
      </c>
      <c r="C120">
        <v>2.6</v>
      </c>
      <c r="D120">
        <v>6.9</v>
      </c>
      <c r="E120">
        <v>2.2999999999999998</v>
      </c>
      <c r="F120" t="s">
        <v>8</v>
      </c>
    </row>
    <row r="121" spans="1:6" x14ac:dyDescent="0.25">
      <c r="A121">
        <v>120</v>
      </c>
      <c r="B121">
        <v>6</v>
      </c>
      <c r="C121">
        <v>2.2000000000000002</v>
      </c>
      <c r="D121">
        <v>5</v>
      </c>
      <c r="E121">
        <v>1.5</v>
      </c>
      <c r="F121" t="s">
        <v>8</v>
      </c>
    </row>
    <row r="122" spans="1:6" x14ac:dyDescent="0.25">
      <c r="A122">
        <v>121</v>
      </c>
      <c r="B122">
        <v>6.9</v>
      </c>
      <c r="C122">
        <v>3.2</v>
      </c>
      <c r="D122">
        <v>5.7</v>
      </c>
      <c r="E122">
        <v>2.2999999999999998</v>
      </c>
      <c r="F122" t="s">
        <v>8</v>
      </c>
    </row>
    <row r="123" spans="1:6" x14ac:dyDescent="0.25">
      <c r="A123">
        <v>122</v>
      </c>
      <c r="B123">
        <v>5.6</v>
      </c>
      <c r="C123">
        <v>2.8</v>
      </c>
      <c r="D123">
        <v>4.9000000000000004</v>
      </c>
      <c r="E123">
        <v>2</v>
      </c>
      <c r="F123" t="s">
        <v>8</v>
      </c>
    </row>
    <row r="124" spans="1:6" x14ac:dyDescent="0.25">
      <c r="A124">
        <v>123</v>
      </c>
      <c r="B124">
        <v>7.7</v>
      </c>
      <c r="C124">
        <v>2.8</v>
      </c>
      <c r="D124">
        <v>6.7</v>
      </c>
      <c r="E124">
        <v>2</v>
      </c>
      <c r="F124" t="s">
        <v>8</v>
      </c>
    </row>
    <row r="125" spans="1:6" x14ac:dyDescent="0.25">
      <c r="A125">
        <v>124</v>
      </c>
      <c r="B125">
        <v>6.3</v>
      </c>
      <c r="C125">
        <v>2.7</v>
      </c>
      <c r="D125">
        <v>4.9000000000000004</v>
      </c>
      <c r="E125">
        <v>1.8</v>
      </c>
      <c r="F125" t="s">
        <v>8</v>
      </c>
    </row>
    <row r="126" spans="1:6" x14ac:dyDescent="0.25">
      <c r="A126">
        <v>125</v>
      </c>
      <c r="B126">
        <v>6.7</v>
      </c>
      <c r="C126">
        <v>3.3</v>
      </c>
      <c r="D126">
        <v>5.7</v>
      </c>
      <c r="E126">
        <v>2.1</v>
      </c>
      <c r="F126" t="s">
        <v>8</v>
      </c>
    </row>
    <row r="127" spans="1:6" x14ac:dyDescent="0.25">
      <c r="A127">
        <v>126</v>
      </c>
      <c r="B127">
        <v>7.2</v>
      </c>
      <c r="C127">
        <v>3.2</v>
      </c>
      <c r="D127">
        <v>6</v>
      </c>
      <c r="E127">
        <v>1.8</v>
      </c>
      <c r="F127" t="s">
        <v>8</v>
      </c>
    </row>
    <row r="128" spans="1:6" x14ac:dyDescent="0.25">
      <c r="A128">
        <v>127</v>
      </c>
      <c r="B128">
        <v>6.2</v>
      </c>
      <c r="C128">
        <v>2.8</v>
      </c>
      <c r="D128">
        <v>4.8</v>
      </c>
      <c r="E128">
        <v>1.8</v>
      </c>
      <c r="F128" t="s">
        <v>8</v>
      </c>
    </row>
    <row r="129" spans="1:6" x14ac:dyDescent="0.25">
      <c r="A129">
        <v>128</v>
      </c>
      <c r="B129">
        <v>6.1</v>
      </c>
      <c r="C129">
        <v>3</v>
      </c>
      <c r="D129">
        <v>4.9000000000000004</v>
      </c>
      <c r="E129">
        <v>1.8</v>
      </c>
      <c r="F129" t="s">
        <v>8</v>
      </c>
    </row>
    <row r="130" spans="1:6" x14ac:dyDescent="0.25">
      <c r="A130">
        <v>129</v>
      </c>
      <c r="B130">
        <v>6.4</v>
      </c>
      <c r="C130">
        <v>2.8</v>
      </c>
      <c r="D130">
        <v>5.6</v>
      </c>
      <c r="E130">
        <v>2.1</v>
      </c>
      <c r="F130" t="s">
        <v>8</v>
      </c>
    </row>
    <row r="131" spans="1:6" x14ac:dyDescent="0.25">
      <c r="A131">
        <v>130</v>
      </c>
      <c r="B131">
        <v>7.2</v>
      </c>
      <c r="C131">
        <v>3</v>
      </c>
      <c r="D131">
        <v>5.8</v>
      </c>
      <c r="E131">
        <v>1.6</v>
      </c>
      <c r="F131" t="s">
        <v>8</v>
      </c>
    </row>
    <row r="132" spans="1:6" x14ac:dyDescent="0.25">
      <c r="A132">
        <v>131</v>
      </c>
      <c r="B132">
        <v>7.4</v>
      </c>
      <c r="C132">
        <v>2.8</v>
      </c>
      <c r="D132">
        <v>6.1</v>
      </c>
      <c r="E132">
        <v>1.9</v>
      </c>
      <c r="F132" t="s">
        <v>8</v>
      </c>
    </row>
    <row r="133" spans="1:6" x14ac:dyDescent="0.25">
      <c r="A133">
        <v>132</v>
      </c>
      <c r="B133">
        <v>7.9</v>
      </c>
      <c r="C133">
        <v>3.8</v>
      </c>
      <c r="D133">
        <v>6.4</v>
      </c>
      <c r="E133">
        <v>2</v>
      </c>
      <c r="F133" t="s">
        <v>8</v>
      </c>
    </row>
    <row r="134" spans="1:6" x14ac:dyDescent="0.25">
      <c r="A134">
        <v>133</v>
      </c>
      <c r="B134">
        <v>6.4</v>
      </c>
      <c r="C134">
        <v>2.8</v>
      </c>
      <c r="D134">
        <v>5.6</v>
      </c>
      <c r="E134">
        <v>2.2000000000000002</v>
      </c>
      <c r="F134" t="s">
        <v>8</v>
      </c>
    </row>
    <row r="135" spans="1:6" x14ac:dyDescent="0.25">
      <c r="A135">
        <v>134</v>
      </c>
      <c r="B135">
        <v>6.3</v>
      </c>
      <c r="C135">
        <v>2.8</v>
      </c>
      <c r="D135">
        <v>5.0999999999999996</v>
      </c>
      <c r="E135">
        <v>1.5</v>
      </c>
      <c r="F135" t="s">
        <v>8</v>
      </c>
    </row>
    <row r="136" spans="1:6" x14ac:dyDescent="0.25">
      <c r="A136">
        <v>135</v>
      </c>
      <c r="B136">
        <v>6.1</v>
      </c>
      <c r="C136">
        <v>2.6</v>
      </c>
      <c r="D136">
        <v>5.6</v>
      </c>
      <c r="E136">
        <v>1.4</v>
      </c>
      <c r="F136" t="s">
        <v>8</v>
      </c>
    </row>
    <row r="137" spans="1:6" x14ac:dyDescent="0.25">
      <c r="A137">
        <v>136</v>
      </c>
      <c r="B137">
        <v>7.7</v>
      </c>
      <c r="C137">
        <v>3</v>
      </c>
      <c r="D137">
        <v>6.1</v>
      </c>
      <c r="E137">
        <v>2.2999999999999998</v>
      </c>
      <c r="F137" t="s">
        <v>8</v>
      </c>
    </row>
    <row r="138" spans="1:6" x14ac:dyDescent="0.25">
      <c r="A138">
        <v>137</v>
      </c>
      <c r="B138">
        <v>6.3</v>
      </c>
      <c r="C138">
        <v>3.4</v>
      </c>
      <c r="D138">
        <v>5.6</v>
      </c>
      <c r="E138">
        <v>2.4</v>
      </c>
      <c r="F138" t="s">
        <v>8</v>
      </c>
    </row>
    <row r="139" spans="1:6" x14ac:dyDescent="0.25">
      <c r="A139">
        <v>138</v>
      </c>
      <c r="B139">
        <v>6.4</v>
      </c>
      <c r="C139">
        <v>3.1</v>
      </c>
      <c r="D139">
        <v>5.5</v>
      </c>
      <c r="E139">
        <v>1.8</v>
      </c>
      <c r="F139" t="s">
        <v>8</v>
      </c>
    </row>
    <row r="140" spans="1:6" x14ac:dyDescent="0.25">
      <c r="A140">
        <v>139</v>
      </c>
      <c r="B140">
        <v>6</v>
      </c>
      <c r="C140">
        <v>3</v>
      </c>
      <c r="D140">
        <v>4.8</v>
      </c>
      <c r="E140">
        <v>1.8</v>
      </c>
      <c r="F140" t="s">
        <v>8</v>
      </c>
    </row>
    <row r="141" spans="1:6" x14ac:dyDescent="0.25">
      <c r="A141">
        <v>140</v>
      </c>
      <c r="B141">
        <v>6.9</v>
      </c>
      <c r="C141">
        <v>3.1</v>
      </c>
      <c r="D141">
        <v>5.4</v>
      </c>
      <c r="E141">
        <v>2.1</v>
      </c>
      <c r="F141" t="s">
        <v>8</v>
      </c>
    </row>
    <row r="142" spans="1:6" x14ac:dyDescent="0.25">
      <c r="A142">
        <v>141</v>
      </c>
      <c r="B142">
        <v>6.7</v>
      </c>
      <c r="C142">
        <v>3.1</v>
      </c>
      <c r="D142">
        <v>5.6</v>
      </c>
      <c r="E142">
        <v>2.4</v>
      </c>
      <c r="F142" t="s">
        <v>8</v>
      </c>
    </row>
    <row r="143" spans="1:6" x14ac:dyDescent="0.25">
      <c r="A143">
        <v>142</v>
      </c>
      <c r="B143">
        <v>6.9</v>
      </c>
      <c r="C143">
        <v>3.1</v>
      </c>
      <c r="D143">
        <v>5.0999999999999996</v>
      </c>
      <c r="E143">
        <v>2.2999999999999998</v>
      </c>
      <c r="F143" t="s">
        <v>8</v>
      </c>
    </row>
    <row r="144" spans="1:6" x14ac:dyDescent="0.25">
      <c r="A144">
        <v>143</v>
      </c>
      <c r="B144">
        <v>5.8</v>
      </c>
      <c r="C144">
        <v>2.7</v>
      </c>
      <c r="D144">
        <v>5.0999999999999996</v>
      </c>
      <c r="E144">
        <v>1.9</v>
      </c>
      <c r="F144" t="s">
        <v>8</v>
      </c>
    </row>
    <row r="145" spans="1:6" x14ac:dyDescent="0.25">
      <c r="A145">
        <v>144</v>
      </c>
      <c r="B145">
        <v>6.8</v>
      </c>
      <c r="C145">
        <v>3.2</v>
      </c>
      <c r="D145">
        <v>5.9</v>
      </c>
      <c r="E145">
        <v>2.2999999999999998</v>
      </c>
      <c r="F145" t="s">
        <v>8</v>
      </c>
    </row>
    <row r="146" spans="1:6" x14ac:dyDescent="0.25">
      <c r="A146">
        <v>145</v>
      </c>
      <c r="B146">
        <v>6.7</v>
      </c>
      <c r="C146">
        <v>3.3</v>
      </c>
      <c r="D146">
        <v>5.7</v>
      </c>
      <c r="E146">
        <v>2.5</v>
      </c>
      <c r="F146" t="s">
        <v>8</v>
      </c>
    </row>
    <row r="147" spans="1:6" x14ac:dyDescent="0.25">
      <c r="A147">
        <v>146</v>
      </c>
      <c r="B147">
        <v>6.7</v>
      </c>
      <c r="C147">
        <v>3</v>
      </c>
      <c r="D147">
        <v>5.2</v>
      </c>
      <c r="E147">
        <v>2.2999999999999998</v>
      </c>
      <c r="F147" t="s">
        <v>8</v>
      </c>
    </row>
    <row r="148" spans="1:6" x14ac:dyDescent="0.25">
      <c r="A148">
        <v>147</v>
      </c>
      <c r="B148">
        <v>6.3</v>
      </c>
      <c r="C148">
        <v>2.5</v>
      </c>
      <c r="D148">
        <v>5</v>
      </c>
      <c r="E148">
        <v>1.9</v>
      </c>
      <c r="F148" t="s">
        <v>8</v>
      </c>
    </row>
    <row r="149" spans="1:6" x14ac:dyDescent="0.25">
      <c r="A149">
        <v>148</v>
      </c>
      <c r="B149">
        <v>6.5</v>
      </c>
      <c r="C149">
        <v>3</v>
      </c>
      <c r="D149">
        <v>5.2</v>
      </c>
      <c r="E149">
        <v>2</v>
      </c>
      <c r="F149" t="s">
        <v>8</v>
      </c>
    </row>
    <row r="150" spans="1:6" x14ac:dyDescent="0.25">
      <c r="A150">
        <v>149</v>
      </c>
      <c r="B150">
        <v>6.2</v>
      </c>
      <c r="C150">
        <v>3.4</v>
      </c>
      <c r="D150">
        <v>5.4</v>
      </c>
      <c r="E150">
        <v>2.2999999999999998</v>
      </c>
      <c r="F150" t="s">
        <v>8</v>
      </c>
    </row>
    <row r="151" spans="1:6" x14ac:dyDescent="0.25">
      <c r="A151">
        <v>150</v>
      </c>
      <c r="B151">
        <v>5.9</v>
      </c>
      <c r="C151">
        <v>3</v>
      </c>
      <c r="D151">
        <v>5.0999999999999996</v>
      </c>
      <c r="E151">
        <v>1.8</v>
      </c>
      <c r="F151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1"/>
  <sheetViews>
    <sheetView topLeftCell="D1" workbookViewId="0">
      <selection activeCell="L11" sqref="L11"/>
    </sheetView>
  </sheetViews>
  <sheetFormatPr defaultRowHeight="15" x14ac:dyDescent="0.25"/>
  <cols>
    <col min="5" max="5" width="25.140625" customWidth="1"/>
    <col min="8" max="8" width="24.7109375" customWidth="1"/>
  </cols>
  <sheetData>
    <row r="1" spans="1:13" ht="15.75" thickBot="1" x14ac:dyDescent="0.3">
      <c r="A1" t="s">
        <v>3</v>
      </c>
      <c r="B1" t="s">
        <v>4</v>
      </c>
      <c r="C1" t="s">
        <v>5</v>
      </c>
      <c r="L1" t="s">
        <v>45</v>
      </c>
      <c r="M1" t="s">
        <v>47</v>
      </c>
    </row>
    <row r="2" spans="1:13" x14ac:dyDescent="0.25">
      <c r="A2">
        <v>1.4</v>
      </c>
      <c r="B2">
        <v>0.2</v>
      </c>
      <c r="C2" t="s">
        <v>6</v>
      </c>
      <c r="E2" s="6" t="s">
        <v>37</v>
      </c>
      <c r="F2" s="6"/>
      <c r="H2" s="6" t="s">
        <v>38</v>
      </c>
      <c r="I2" s="6"/>
      <c r="J2" s="7"/>
      <c r="K2" t="s">
        <v>41</v>
      </c>
      <c r="L2">
        <f>MIN(A2:A51)</f>
        <v>1</v>
      </c>
      <c r="M2">
        <f>MIN(B2:B51)</f>
        <v>0.1</v>
      </c>
    </row>
    <row r="3" spans="1:13" x14ac:dyDescent="0.25">
      <c r="A3">
        <v>1.4</v>
      </c>
      <c r="B3">
        <v>0.2</v>
      </c>
      <c r="C3" t="s">
        <v>6</v>
      </c>
      <c r="E3" s="4"/>
      <c r="F3" s="4"/>
      <c r="H3" s="4"/>
      <c r="I3" s="4"/>
      <c r="J3" s="4"/>
      <c r="K3" t="s">
        <v>46</v>
      </c>
      <c r="L3">
        <f>QUARTILE(A2:A51,1)</f>
        <v>1.4</v>
      </c>
      <c r="M3">
        <f>QUARTILE(B2:B51,1)</f>
        <v>0.2</v>
      </c>
    </row>
    <row r="4" spans="1:13" x14ac:dyDescent="0.25">
      <c r="A4">
        <v>1.3</v>
      </c>
      <c r="B4">
        <v>0.2</v>
      </c>
      <c r="C4" t="s">
        <v>6</v>
      </c>
      <c r="E4" s="4" t="s">
        <v>21</v>
      </c>
      <c r="F4" s="4">
        <v>1.464</v>
      </c>
      <c r="H4" s="4" t="s">
        <v>21</v>
      </c>
      <c r="I4" s="4">
        <v>0.24399999999999991</v>
      </c>
      <c r="J4" s="4"/>
      <c r="K4" t="s">
        <v>51</v>
      </c>
      <c r="L4">
        <f>MEDIAN(A2:A51)</f>
        <v>1.5</v>
      </c>
      <c r="M4">
        <f>MEDIAN(B2:B51)</f>
        <v>0.2</v>
      </c>
    </row>
    <row r="5" spans="1:13" x14ac:dyDescent="0.25">
      <c r="A5">
        <v>1.5</v>
      </c>
      <c r="B5">
        <v>0.2</v>
      </c>
      <c r="C5" t="s">
        <v>6</v>
      </c>
      <c r="E5" s="4" t="s">
        <v>22</v>
      </c>
      <c r="F5" s="4">
        <v>2.4538183489809809E-2</v>
      </c>
      <c r="H5" s="4" t="s">
        <v>22</v>
      </c>
      <c r="I5" s="4">
        <v>1.5161713327339009E-2</v>
      </c>
      <c r="J5" s="4"/>
      <c r="K5" t="s">
        <v>52</v>
      </c>
      <c r="L5">
        <f>QUARTILE(A2:A51,3)</f>
        <v>1.5750000000000002</v>
      </c>
      <c r="M5">
        <f>QUARTILE(B2:B51,3)</f>
        <v>0.3</v>
      </c>
    </row>
    <row r="6" spans="1:13" x14ac:dyDescent="0.25">
      <c r="A6">
        <v>1.4</v>
      </c>
      <c r="B6">
        <v>0.2</v>
      </c>
      <c r="C6" t="s">
        <v>6</v>
      </c>
      <c r="E6" s="4" t="s">
        <v>23</v>
      </c>
      <c r="F6" s="4">
        <v>1.5</v>
      </c>
      <c r="H6" s="4" t="s">
        <v>23</v>
      </c>
      <c r="I6" s="4">
        <v>0.2</v>
      </c>
      <c r="J6" s="4"/>
      <c r="K6" t="s">
        <v>40</v>
      </c>
      <c r="L6">
        <f>MAX(A2:A51)</f>
        <v>1.9</v>
      </c>
      <c r="M6">
        <f>MAX(B2:B51)</f>
        <v>0.6</v>
      </c>
    </row>
    <row r="7" spans="1:13" x14ac:dyDescent="0.25">
      <c r="A7">
        <v>1.7</v>
      </c>
      <c r="B7">
        <v>0.4</v>
      </c>
      <c r="C7" t="s">
        <v>6</v>
      </c>
      <c r="E7" s="4" t="s">
        <v>24</v>
      </c>
      <c r="F7" s="4">
        <v>1.5</v>
      </c>
      <c r="H7" s="4" t="s">
        <v>24</v>
      </c>
      <c r="I7" s="4">
        <v>0.2</v>
      </c>
      <c r="J7" s="4"/>
    </row>
    <row r="8" spans="1:13" x14ac:dyDescent="0.25">
      <c r="A8">
        <v>1.4</v>
      </c>
      <c r="B8">
        <v>0.3</v>
      </c>
      <c r="C8" t="s">
        <v>6</v>
      </c>
      <c r="E8" s="4" t="s">
        <v>25</v>
      </c>
      <c r="F8" s="4">
        <v>0.17351115943644299</v>
      </c>
      <c r="H8" s="4" t="s">
        <v>25</v>
      </c>
      <c r="I8" s="4">
        <v>0.10720950308167866</v>
      </c>
      <c r="J8" s="4"/>
      <c r="K8" t="s">
        <v>48</v>
      </c>
      <c r="L8">
        <f>L3</f>
        <v>1.4</v>
      </c>
      <c r="M8">
        <f>M3</f>
        <v>0.2</v>
      </c>
    </row>
    <row r="9" spans="1:13" x14ac:dyDescent="0.25">
      <c r="A9">
        <v>1.5</v>
      </c>
      <c r="B9">
        <v>0.2</v>
      </c>
      <c r="C9" t="s">
        <v>6</v>
      </c>
      <c r="E9" s="4" t="s">
        <v>26</v>
      </c>
      <c r="F9" s="4">
        <v>3.0106122448978742E-2</v>
      </c>
      <c r="H9" s="4" t="s">
        <v>26</v>
      </c>
      <c r="I9" s="4">
        <v>1.1493877551020465E-2</v>
      </c>
      <c r="J9" s="4"/>
      <c r="K9" t="s">
        <v>49</v>
      </c>
      <c r="L9">
        <f>L4-L3</f>
        <v>0.10000000000000009</v>
      </c>
      <c r="M9">
        <f>M4-M3</f>
        <v>0</v>
      </c>
    </row>
    <row r="10" spans="1:13" x14ac:dyDescent="0.25">
      <c r="A10">
        <v>1.4</v>
      </c>
      <c r="B10">
        <v>0.2</v>
      </c>
      <c r="C10" t="s">
        <v>6</v>
      </c>
      <c r="E10" s="4" t="s">
        <v>27</v>
      </c>
      <c r="F10" s="4">
        <v>1.0316261291312161</v>
      </c>
      <c r="H10" s="4" t="s">
        <v>27</v>
      </c>
      <c r="I10" s="4">
        <v>1.5664416078903312</v>
      </c>
      <c r="J10" s="4"/>
      <c r="K10" t="s">
        <v>50</v>
      </c>
      <c r="L10">
        <f>L5-L4</f>
        <v>7.5000000000000178E-2</v>
      </c>
      <c r="M10">
        <f>M5-M4</f>
        <v>9.9999999999999978E-2</v>
      </c>
    </row>
    <row r="11" spans="1:13" x14ac:dyDescent="0.25">
      <c r="A11">
        <v>1.5</v>
      </c>
      <c r="B11">
        <v>0.1</v>
      </c>
      <c r="C11" t="s">
        <v>6</v>
      </c>
      <c r="E11" s="4" t="s">
        <v>28</v>
      </c>
      <c r="F11" s="4">
        <v>7.1846135609730702E-2</v>
      </c>
      <c r="H11" s="4" t="s">
        <v>28</v>
      </c>
      <c r="I11" s="4">
        <v>1.1972429698312088</v>
      </c>
      <c r="J11" s="4"/>
      <c r="K11" t="s">
        <v>55</v>
      </c>
      <c r="L11">
        <f>AVERAGE(A2:A51)</f>
        <v>1.464</v>
      </c>
      <c r="M11">
        <f>AVERAGE(B2:B51)</f>
        <v>0.24399999999999991</v>
      </c>
    </row>
    <row r="12" spans="1:13" x14ac:dyDescent="0.25">
      <c r="A12">
        <v>1.5</v>
      </c>
      <c r="B12">
        <v>0.2</v>
      </c>
      <c r="C12" t="s">
        <v>6</v>
      </c>
      <c r="E12" s="4" t="s">
        <v>29</v>
      </c>
      <c r="F12" s="4">
        <v>0.89999999999999991</v>
      </c>
      <c r="H12" s="4" t="s">
        <v>29</v>
      </c>
      <c r="I12" s="4">
        <v>0.5</v>
      </c>
      <c r="J12" s="4"/>
    </row>
    <row r="13" spans="1:13" x14ac:dyDescent="0.25">
      <c r="A13">
        <v>1.6</v>
      </c>
      <c r="B13">
        <v>0.2</v>
      </c>
      <c r="C13" t="s">
        <v>6</v>
      </c>
      <c r="E13" s="4" t="s">
        <v>30</v>
      </c>
      <c r="F13" s="4">
        <v>1</v>
      </c>
      <c r="H13" s="4" t="s">
        <v>30</v>
      </c>
      <c r="I13" s="4">
        <v>0.1</v>
      </c>
      <c r="J13" s="4"/>
      <c r="K13" t="s">
        <v>53</v>
      </c>
      <c r="L13">
        <f>L6-L5</f>
        <v>0.32499999999999973</v>
      </c>
      <c r="M13">
        <f>M6-M5</f>
        <v>0.3</v>
      </c>
    </row>
    <row r="14" spans="1:13" x14ac:dyDescent="0.25">
      <c r="A14">
        <v>1.4</v>
      </c>
      <c r="B14">
        <v>0.1</v>
      </c>
      <c r="C14" t="s">
        <v>6</v>
      </c>
      <c r="E14" s="4" t="s">
        <v>31</v>
      </c>
      <c r="F14" s="4">
        <v>1.9</v>
      </c>
      <c r="H14" s="4" t="s">
        <v>31</v>
      </c>
      <c r="I14" s="4">
        <v>0.6</v>
      </c>
      <c r="J14" s="4"/>
      <c r="K14" t="s">
        <v>54</v>
      </c>
      <c r="L14">
        <f>L3-L2</f>
        <v>0.39999999999999991</v>
      </c>
      <c r="M14">
        <f>M3-M2</f>
        <v>0.1</v>
      </c>
    </row>
    <row r="15" spans="1:13" x14ac:dyDescent="0.25">
      <c r="A15">
        <v>1.1000000000000001</v>
      </c>
      <c r="B15">
        <v>0.1</v>
      </c>
      <c r="C15" t="s">
        <v>6</v>
      </c>
      <c r="E15" s="4" t="s">
        <v>32</v>
      </c>
      <c r="F15" s="4">
        <v>73.2</v>
      </c>
      <c r="H15" s="4" t="s">
        <v>32</v>
      </c>
      <c r="I15" s="4">
        <v>12.199999999999996</v>
      </c>
      <c r="J15" s="4"/>
    </row>
    <row r="16" spans="1:13" x14ac:dyDescent="0.25">
      <c r="A16">
        <v>1.2</v>
      </c>
      <c r="B16">
        <v>0.2</v>
      </c>
      <c r="C16" t="s">
        <v>6</v>
      </c>
      <c r="E16" s="4" t="s">
        <v>33</v>
      </c>
      <c r="F16" s="4">
        <v>50</v>
      </c>
      <c r="H16" s="4" t="s">
        <v>33</v>
      </c>
      <c r="I16" s="4">
        <v>50</v>
      </c>
      <c r="J16" s="4"/>
    </row>
    <row r="17" spans="1:10" x14ac:dyDescent="0.25">
      <c r="A17">
        <v>1.5</v>
      </c>
      <c r="B17">
        <v>0.4</v>
      </c>
      <c r="C17" t="s">
        <v>6</v>
      </c>
      <c r="E17" s="4" t="s">
        <v>34</v>
      </c>
      <c r="F17" s="4">
        <v>1.9</v>
      </c>
      <c r="H17" s="4" t="s">
        <v>34</v>
      </c>
      <c r="I17" s="4">
        <v>0.6</v>
      </c>
      <c r="J17" s="4"/>
    </row>
    <row r="18" spans="1:10" x14ac:dyDescent="0.25">
      <c r="A18">
        <v>1.3</v>
      </c>
      <c r="B18">
        <v>0.4</v>
      </c>
      <c r="C18" t="s">
        <v>6</v>
      </c>
      <c r="E18" s="4" t="s">
        <v>35</v>
      </c>
      <c r="F18" s="4">
        <v>1</v>
      </c>
      <c r="H18" s="4" t="s">
        <v>35</v>
      </c>
      <c r="I18" s="4">
        <v>0.1</v>
      </c>
      <c r="J18" s="4"/>
    </row>
    <row r="19" spans="1:10" ht="15.75" thickBot="1" x14ac:dyDescent="0.3">
      <c r="A19">
        <v>1.4</v>
      </c>
      <c r="B19">
        <v>0.3</v>
      </c>
      <c r="C19" t="s">
        <v>6</v>
      </c>
      <c r="E19" s="5" t="s">
        <v>36</v>
      </c>
      <c r="F19" s="5">
        <v>4.9311325905255318E-2</v>
      </c>
      <c r="H19" s="5" t="s">
        <v>36</v>
      </c>
      <c r="I19" s="5">
        <v>3.046860365507283E-2</v>
      </c>
      <c r="J19" s="4"/>
    </row>
    <row r="20" spans="1:10" x14ac:dyDescent="0.25">
      <c r="A20">
        <v>1.7</v>
      </c>
      <c r="B20">
        <v>0.3</v>
      </c>
      <c r="C20" t="s">
        <v>6</v>
      </c>
    </row>
    <row r="21" spans="1:10" x14ac:dyDescent="0.25">
      <c r="A21">
        <v>1.5</v>
      </c>
      <c r="B21">
        <v>0.3</v>
      </c>
      <c r="C21" t="s">
        <v>6</v>
      </c>
      <c r="E21" t="s">
        <v>39</v>
      </c>
      <c r="H21" t="s">
        <v>42</v>
      </c>
    </row>
    <row r="22" spans="1:10" x14ac:dyDescent="0.25">
      <c r="A22">
        <v>1.7</v>
      </c>
      <c r="B22">
        <v>0.2</v>
      </c>
      <c r="C22" t="s">
        <v>6</v>
      </c>
      <c r="E22" t="s">
        <v>40</v>
      </c>
      <c r="F22">
        <f>F4+F8</f>
        <v>1.6375111594364429</v>
      </c>
      <c r="H22" t="s">
        <v>40</v>
      </c>
      <c r="I22">
        <f>I4+I8</f>
        <v>0.35120950308167859</v>
      </c>
    </row>
    <row r="23" spans="1:10" x14ac:dyDescent="0.25">
      <c r="A23">
        <v>1.5</v>
      </c>
      <c r="B23">
        <v>0.4</v>
      </c>
      <c r="C23" t="s">
        <v>6</v>
      </c>
      <c r="E23" t="s">
        <v>41</v>
      </c>
      <c r="F23">
        <f>F4-F8</f>
        <v>1.2904888405635571</v>
      </c>
      <c r="H23" t="s">
        <v>41</v>
      </c>
      <c r="I23">
        <f>I4-I8</f>
        <v>0.13679049691832124</v>
      </c>
    </row>
    <row r="24" spans="1:10" x14ac:dyDescent="0.25">
      <c r="A24">
        <v>1</v>
      </c>
      <c r="B24">
        <v>0.2</v>
      </c>
      <c r="C24" t="s">
        <v>6</v>
      </c>
    </row>
    <row r="25" spans="1:10" x14ac:dyDescent="0.25">
      <c r="A25">
        <v>1.7</v>
      </c>
      <c r="B25">
        <v>0.5</v>
      </c>
      <c r="C25" t="s">
        <v>6</v>
      </c>
    </row>
    <row r="26" spans="1:10" x14ac:dyDescent="0.25">
      <c r="A26">
        <v>1.9</v>
      </c>
      <c r="B26">
        <v>0.2</v>
      </c>
      <c r="C26" t="s">
        <v>6</v>
      </c>
    </row>
    <row r="27" spans="1:10" x14ac:dyDescent="0.25">
      <c r="A27">
        <v>1.6</v>
      </c>
      <c r="B27">
        <v>0.2</v>
      </c>
      <c r="C27" t="s">
        <v>6</v>
      </c>
    </row>
    <row r="28" spans="1:10" x14ac:dyDescent="0.25">
      <c r="A28">
        <v>1.6</v>
      </c>
      <c r="B28">
        <v>0.4</v>
      </c>
      <c r="C28" t="s">
        <v>6</v>
      </c>
    </row>
    <row r="29" spans="1:10" x14ac:dyDescent="0.25">
      <c r="A29">
        <v>1.5</v>
      </c>
      <c r="B29">
        <v>0.2</v>
      </c>
      <c r="C29" t="s">
        <v>6</v>
      </c>
    </row>
    <row r="30" spans="1:10" x14ac:dyDescent="0.25">
      <c r="A30">
        <v>1.4</v>
      </c>
      <c r="B30">
        <v>0.2</v>
      </c>
      <c r="C30" t="s">
        <v>6</v>
      </c>
    </row>
    <row r="31" spans="1:10" x14ac:dyDescent="0.25">
      <c r="A31">
        <v>1.6</v>
      </c>
      <c r="B31">
        <v>0.2</v>
      </c>
      <c r="C31" t="s">
        <v>6</v>
      </c>
    </row>
    <row r="32" spans="1:10" x14ac:dyDescent="0.25">
      <c r="A32">
        <v>1.6</v>
      </c>
      <c r="B32">
        <v>0.2</v>
      </c>
      <c r="C32" t="s">
        <v>6</v>
      </c>
    </row>
    <row r="33" spans="1:3" x14ac:dyDescent="0.25">
      <c r="A33">
        <v>1.5</v>
      </c>
      <c r="B33">
        <v>0.4</v>
      </c>
      <c r="C33" t="s">
        <v>6</v>
      </c>
    </row>
    <row r="34" spans="1:3" x14ac:dyDescent="0.25">
      <c r="A34">
        <v>1.5</v>
      </c>
      <c r="B34">
        <v>0.1</v>
      </c>
      <c r="C34" t="s">
        <v>6</v>
      </c>
    </row>
    <row r="35" spans="1:3" x14ac:dyDescent="0.25">
      <c r="A35">
        <v>1.4</v>
      </c>
      <c r="B35">
        <v>0.2</v>
      </c>
      <c r="C35" t="s">
        <v>6</v>
      </c>
    </row>
    <row r="36" spans="1:3" x14ac:dyDescent="0.25">
      <c r="A36">
        <v>1.5</v>
      </c>
      <c r="B36">
        <v>0.1</v>
      </c>
      <c r="C36" t="s">
        <v>6</v>
      </c>
    </row>
    <row r="37" spans="1:3" x14ac:dyDescent="0.25">
      <c r="A37">
        <v>1.2</v>
      </c>
      <c r="B37">
        <v>0.2</v>
      </c>
      <c r="C37" t="s">
        <v>6</v>
      </c>
    </row>
    <row r="38" spans="1:3" x14ac:dyDescent="0.25">
      <c r="A38">
        <v>1.3</v>
      </c>
      <c r="B38">
        <v>0.2</v>
      </c>
      <c r="C38" t="s">
        <v>6</v>
      </c>
    </row>
    <row r="39" spans="1:3" x14ac:dyDescent="0.25">
      <c r="A39">
        <v>1.5</v>
      </c>
      <c r="B39">
        <v>0.1</v>
      </c>
      <c r="C39" t="s">
        <v>6</v>
      </c>
    </row>
    <row r="40" spans="1:3" x14ac:dyDescent="0.25">
      <c r="A40">
        <v>1.3</v>
      </c>
      <c r="B40">
        <v>0.2</v>
      </c>
      <c r="C40" t="s">
        <v>6</v>
      </c>
    </row>
    <row r="41" spans="1:3" x14ac:dyDescent="0.25">
      <c r="A41">
        <v>1.5</v>
      </c>
      <c r="B41">
        <v>0.2</v>
      </c>
      <c r="C41" t="s">
        <v>6</v>
      </c>
    </row>
    <row r="42" spans="1:3" x14ac:dyDescent="0.25">
      <c r="A42">
        <v>1.3</v>
      </c>
      <c r="B42">
        <v>0.3</v>
      </c>
      <c r="C42" t="s">
        <v>6</v>
      </c>
    </row>
    <row r="43" spans="1:3" x14ac:dyDescent="0.25">
      <c r="A43">
        <v>1.3</v>
      </c>
      <c r="B43">
        <v>0.3</v>
      </c>
      <c r="C43" t="s">
        <v>6</v>
      </c>
    </row>
    <row r="44" spans="1:3" x14ac:dyDescent="0.25">
      <c r="A44">
        <v>1.3</v>
      </c>
      <c r="B44">
        <v>0.2</v>
      </c>
      <c r="C44" t="s">
        <v>6</v>
      </c>
    </row>
    <row r="45" spans="1:3" x14ac:dyDescent="0.25">
      <c r="A45">
        <v>1.6</v>
      </c>
      <c r="B45">
        <v>0.6</v>
      </c>
      <c r="C45" t="s">
        <v>6</v>
      </c>
    </row>
    <row r="46" spans="1:3" x14ac:dyDescent="0.25">
      <c r="A46">
        <v>1.9</v>
      </c>
      <c r="B46">
        <v>0.4</v>
      </c>
      <c r="C46" t="s">
        <v>6</v>
      </c>
    </row>
    <row r="47" spans="1:3" x14ac:dyDescent="0.25">
      <c r="A47">
        <v>1.4</v>
      </c>
      <c r="B47">
        <v>0.3</v>
      </c>
      <c r="C47" t="s">
        <v>6</v>
      </c>
    </row>
    <row r="48" spans="1:3" x14ac:dyDescent="0.25">
      <c r="A48">
        <v>1.6</v>
      </c>
      <c r="B48">
        <v>0.2</v>
      </c>
      <c r="C48" t="s">
        <v>6</v>
      </c>
    </row>
    <row r="49" spans="1:3" x14ac:dyDescent="0.25">
      <c r="A49">
        <v>1.4</v>
      </c>
      <c r="B49">
        <v>0.2</v>
      </c>
      <c r="C49" t="s">
        <v>6</v>
      </c>
    </row>
    <row r="50" spans="1:3" x14ac:dyDescent="0.25">
      <c r="A50">
        <v>1.5</v>
      </c>
      <c r="B50">
        <v>0.2</v>
      </c>
      <c r="C50" t="s">
        <v>6</v>
      </c>
    </row>
    <row r="51" spans="1:3" x14ac:dyDescent="0.25">
      <c r="A51">
        <v>1.4</v>
      </c>
      <c r="B51">
        <v>0.2</v>
      </c>
      <c r="C51" t="s">
        <v>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1"/>
  <sheetViews>
    <sheetView topLeftCell="A2" workbookViewId="0">
      <selection activeCell="E21" sqref="E21:E23"/>
    </sheetView>
  </sheetViews>
  <sheetFormatPr defaultRowHeight="15" x14ac:dyDescent="0.25"/>
  <cols>
    <col min="5" max="5" width="27.28515625" customWidth="1"/>
    <col min="8" max="8" width="27.42578125" customWidth="1"/>
  </cols>
  <sheetData>
    <row r="1" spans="1:9" ht="15.75" thickBot="1" x14ac:dyDescent="0.3">
      <c r="A1" t="s">
        <v>3</v>
      </c>
      <c r="B1" t="s">
        <v>4</v>
      </c>
      <c r="C1" t="s">
        <v>5</v>
      </c>
    </row>
    <row r="2" spans="1:9" x14ac:dyDescent="0.25">
      <c r="A2">
        <v>4.7</v>
      </c>
      <c r="B2">
        <v>1.4</v>
      </c>
      <c r="C2" t="s">
        <v>7</v>
      </c>
      <c r="E2" s="6" t="s">
        <v>43</v>
      </c>
      <c r="F2" s="6"/>
      <c r="H2" s="6" t="s">
        <v>44</v>
      </c>
      <c r="I2" s="6"/>
    </row>
    <row r="3" spans="1:9" x14ac:dyDescent="0.25">
      <c r="A3">
        <v>4.5</v>
      </c>
      <c r="B3">
        <v>1.5</v>
      </c>
      <c r="C3" t="s">
        <v>7</v>
      </c>
      <c r="E3" s="4"/>
      <c r="F3" s="4"/>
      <c r="H3" s="4"/>
      <c r="I3" s="4"/>
    </row>
    <row r="4" spans="1:9" x14ac:dyDescent="0.25">
      <c r="A4">
        <v>4.9000000000000004</v>
      </c>
      <c r="B4">
        <v>1.5</v>
      </c>
      <c r="C4" t="s">
        <v>7</v>
      </c>
      <c r="E4" s="4" t="s">
        <v>21</v>
      </c>
      <c r="F4" s="4">
        <v>4.26</v>
      </c>
      <c r="H4" s="4" t="s">
        <v>21</v>
      </c>
      <c r="I4" s="4">
        <v>1.3259999999999998</v>
      </c>
    </row>
    <row r="5" spans="1:9" x14ac:dyDescent="0.25">
      <c r="A5">
        <v>4</v>
      </c>
      <c r="B5">
        <v>1.3</v>
      </c>
      <c r="C5" t="s">
        <v>7</v>
      </c>
      <c r="E5" s="4" t="s">
        <v>22</v>
      </c>
      <c r="F5" s="4">
        <v>6.6455447712075524E-2</v>
      </c>
      <c r="H5" s="4" t="s">
        <v>22</v>
      </c>
      <c r="I5" s="4">
        <v>2.7966452205805112E-2</v>
      </c>
    </row>
    <row r="6" spans="1:9" x14ac:dyDescent="0.25">
      <c r="A6">
        <v>4.5999999999999996</v>
      </c>
      <c r="B6">
        <v>1.5</v>
      </c>
      <c r="C6" t="s">
        <v>7</v>
      </c>
      <c r="E6" s="4" t="s">
        <v>23</v>
      </c>
      <c r="F6" s="4">
        <v>4.3499999999999996</v>
      </c>
      <c r="H6" s="4" t="s">
        <v>23</v>
      </c>
      <c r="I6" s="4">
        <v>1.3</v>
      </c>
    </row>
    <row r="7" spans="1:9" x14ac:dyDescent="0.25">
      <c r="A7">
        <v>4.5</v>
      </c>
      <c r="B7">
        <v>1.3</v>
      </c>
      <c r="C7" t="s">
        <v>7</v>
      </c>
      <c r="E7" s="4" t="s">
        <v>24</v>
      </c>
      <c r="F7" s="4">
        <v>4.5</v>
      </c>
      <c r="H7" s="4" t="s">
        <v>24</v>
      </c>
      <c r="I7" s="4">
        <v>1.3</v>
      </c>
    </row>
    <row r="8" spans="1:9" x14ac:dyDescent="0.25">
      <c r="A8">
        <v>4.7</v>
      </c>
      <c r="B8">
        <v>1.6</v>
      </c>
      <c r="C8" t="s">
        <v>7</v>
      </c>
      <c r="E8" s="4" t="s">
        <v>25</v>
      </c>
      <c r="F8" s="4">
        <v>0.46991097723996639</v>
      </c>
      <c r="H8" s="4" t="s">
        <v>25</v>
      </c>
      <c r="I8" s="4">
        <v>0.19775268000454274</v>
      </c>
    </row>
    <row r="9" spans="1:9" x14ac:dyDescent="0.25">
      <c r="A9">
        <v>3.3</v>
      </c>
      <c r="B9">
        <v>1</v>
      </c>
      <c r="C9" t="s">
        <v>7</v>
      </c>
      <c r="E9" s="4" t="s">
        <v>26</v>
      </c>
      <c r="F9" s="4">
        <v>0.22081632653062022</v>
      </c>
      <c r="H9" s="4" t="s">
        <v>26</v>
      </c>
      <c r="I9" s="4">
        <v>3.9106122448979083E-2</v>
      </c>
    </row>
    <row r="10" spans="1:9" x14ac:dyDescent="0.25">
      <c r="A10">
        <v>4.5999999999999996</v>
      </c>
      <c r="B10">
        <v>1.3</v>
      </c>
      <c r="C10" t="s">
        <v>7</v>
      </c>
      <c r="E10" s="4" t="s">
        <v>27</v>
      </c>
      <c r="F10" s="4">
        <v>4.7903299627568341E-2</v>
      </c>
      <c r="H10" s="4" t="s">
        <v>27</v>
      </c>
      <c r="I10" s="4">
        <v>-0.410059235360972</v>
      </c>
    </row>
    <row r="11" spans="1:9" x14ac:dyDescent="0.25">
      <c r="A11">
        <v>3.9</v>
      </c>
      <c r="B11">
        <v>1.4</v>
      </c>
      <c r="C11" t="s">
        <v>7</v>
      </c>
      <c r="E11" s="4" t="s">
        <v>28</v>
      </c>
      <c r="F11" s="4">
        <v>-0.60650768949062361</v>
      </c>
      <c r="H11" s="4" t="s">
        <v>28</v>
      </c>
      <c r="I11" s="4">
        <v>-3.1179598052247015E-2</v>
      </c>
    </row>
    <row r="12" spans="1:9" x14ac:dyDescent="0.25">
      <c r="A12">
        <v>3.5</v>
      </c>
      <c r="B12">
        <v>1</v>
      </c>
      <c r="C12" t="s">
        <v>7</v>
      </c>
      <c r="E12" s="4" t="s">
        <v>29</v>
      </c>
      <c r="F12" s="4">
        <v>2.0999999999999996</v>
      </c>
      <c r="H12" s="4" t="s">
        <v>29</v>
      </c>
      <c r="I12" s="4">
        <v>0.8</v>
      </c>
    </row>
    <row r="13" spans="1:9" x14ac:dyDescent="0.25">
      <c r="A13">
        <v>4.2</v>
      </c>
      <c r="B13">
        <v>1.5</v>
      </c>
      <c r="C13" t="s">
        <v>7</v>
      </c>
      <c r="E13" s="4" t="s">
        <v>30</v>
      </c>
      <c r="F13" s="4">
        <v>3</v>
      </c>
      <c r="H13" s="4" t="s">
        <v>30</v>
      </c>
      <c r="I13" s="4">
        <v>1</v>
      </c>
    </row>
    <row r="14" spans="1:9" x14ac:dyDescent="0.25">
      <c r="A14">
        <v>4</v>
      </c>
      <c r="B14">
        <v>1</v>
      </c>
      <c r="C14" t="s">
        <v>7</v>
      </c>
      <c r="E14" s="4" t="s">
        <v>31</v>
      </c>
      <c r="F14" s="4">
        <v>5.0999999999999996</v>
      </c>
      <c r="H14" s="4" t="s">
        <v>31</v>
      </c>
      <c r="I14" s="4">
        <v>1.8</v>
      </c>
    </row>
    <row r="15" spans="1:9" x14ac:dyDescent="0.25">
      <c r="A15">
        <v>4.7</v>
      </c>
      <c r="B15">
        <v>1.4</v>
      </c>
      <c r="C15" t="s">
        <v>7</v>
      </c>
      <c r="E15" s="4" t="s">
        <v>32</v>
      </c>
      <c r="F15" s="4">
        <v>212.99999999999997</v>
      </c>
      <c r="H15" s="4" t="s">
        <v>32</v>
      </c>
      <c r="I15" s="4">
        <v>66.3</v>
      </c>
    </row>
    <row r="16" spans="1:9" x14ac:dyDescent="0.25">
      <c r="A16">
        <v>3.6</v>
      </c>
      <c r="B16">
        <v>1.3</v>
      </c>
      <c r="C16" t="s">
        <v>7</v>
      </c>
      <c r="E16" s="4" t="s">
        <v>33</v>
      </c>
      <c r="F16" s="4">
        <v>50</v>
      </c>
      <c r="H16" s="4" t="s">
        <v>33</v>
      </c>
      <c r="I16" s="4">
        <v>50</v>
      </c>
    </row>
    <row r="17" spans="1:9" x14ac:dyDescent="0.25">
      <c r="A17">
        <v>4.4000000000000004</v>
      </c>
      <c r="B17">
        <v>1.4</v>
      </c>
      <c r="C17" t="s">
        <v>7</v>
      </c>
      <c r="E17" s="4" t="s">
        <v>34</v>
      </c>
      <c r="F17" s="4">
        <v>5.0999999999999996</v>
      </c>
      <c r="H17" s="4" t="s">
        <v>34</v>
      </c>
      <c r="I17" s="4">
        <v>1.8</v>
      </c>
    </row>
    <row r="18" spans="1:9" x14ac:dyDescent="0.25">
      <c r="A18">
        <v>4.5</v>
      </c>
      <c r="B18">
        <v>1.5</v>
      </c>
      <c r="C18" t="s">
        <v>7</v>
      </c>
      <c r="E18" s="4" t="s">
        <v>35</v>
      </c>
      <c r="F18" s="4">
        <v>3</v>
      </c>
      <c r="H18" s="4" t="s">
        <v>35</v>
      </c>
      <c r="I18" s="4">
        <v>1</v>
      </c>
    </row>
    <row r="19" spans="1:9" ht="15.75" thickBot="1" x14ac:dyDescent="0.3">
      <c r="A19">
        <v>4.0999999999999996</v>
      </c>
      <c r="B19">
        <v>1</v>
      </c>
      <c r="C19" t="s">
        <v>7</v>
      </c>
      <c r="E19" s="5" t="s">
        <v>36</v>
      </c>
      <c r="F19" s="5">
        <v>0.13354722209452391</v>
      </c>
      <c r="H19" s="5" t="s">
        <v>36</v>
      </c>
      <c r="I19" s="5">
        <v>5.6200689823144329E-2</v>
      </c>
    </row>
    <row r="20" spans="1:9" x14ac:dyDescent="0.25">
      <c r="A20">
        <v>4.5</v>
      </c>
      <c r="B20">
        <v>1.5</v>
      </c>
      <c r="C20" t="s">
        <v>7</v>
      </c>
    </row>
    <row r="21" spans="1:9" x14ac:dyDescent="0.25">
      <c r="A21">
        <v>3.9</v>
      </c>
      <c r="B21">
        <v>1.1000000000000001</v>
      </c>
      <c r="C21" t="s">
        <v>7</v>
      </c>
      <c r="E21" t="s">
        <v>39</v>
      </c>
      <c r="H21" t="s">
        <v>42</v>
      </c>
    </row>
    <row r="22" spans="1:9" x14ac:dyDescent="0.25">
      <c r="A22">
        <v>4.8</v>
      </c>
      <c r="B22">
        <v>1.8</v>
      </c>
      <c r="C22" t="s">
        <v>7</v>
      </c>
      <c r="E22" t="s">
        <v>40</v>
      </c>
      <c r="F22">
        <f>F4+F8</f>
        <v>4.7299109772399666</v>
      </c>
      <c r="H22" t="s">
        <v>40</v>
      </c>
      <c r="I22">
        <f>I4+I8</f>
        <v>1.5237526800045427</v>
      </c>
    </row>
    <row r="23" spans="1:9" x14ac:dyDescent="0.25">
      <c r="A23">
        <v>4</v>
      </c>
      <c r="B23">
        <v>1.3</v>
      </c>
      <c r="C23" t="s">
        <v>7</v>
      </c>
      <c r="E23" t="s">
        <v>41</v>
      </c>
      <c r="F23">
        <f>F4-F8</f>
        <v>3.7900890227600335</v>
      </c>
      <c r="H23" t="s">
        <v>41</v>
      </c>
      <c r="I23">
        <f>I4-I8</f>
        <v>1.128247319995457</v>
      </c>
    </row>
    <row r="24" spans="1:9" x14ac:dyDescent="0.25">
      <c r="A24">
        <v>4.9000000000000004</v>
      </c>
      <c r="B24">
        <v>1.5</v>
      </c>
      <c r="C24" t="s">
        <v>7</v>
      </c>
    </row>
    <row r="25" spans="1:9" x14ac:dyDescent="0.25">
      <c r="A25">
        <v>4.7</v>
      </c>
      <c r="B25">
        <v>1.2</v>
      </c>
      <c r="C25" t="s">
        <v>7</v>
      </c>
    </row>
    <row r="26" spans="1:9" x14ac:dyDescent="0.25">
      <c r="A26">
        <v>4.3</v>
      </c>
      <c r="B26">
        <v>1.3</v>
      </c>
      <c r="C26" t="s">
        <v>7</v>
      </c>
    </row>
    <row r="27" spans="1:9" x14ac:dyDescent="0.25">
      <c r="A27">
        <v>4.4000000000000004</v>
      </c>
      <c r="B27">
        <v>1.4</v>
      </c>
      <c r="C27" t="s">
        <v>7</v>
      </c>
    </row>
    <row r="28" spans="1:9" x14ac:dyDescent="0.25">
      <c r="A28">
        <v>4.8</v>
      </c>
      <c r="B28">
        <v>1.4</v>
      </c>
      <c r="C28" t="s">
        <v>7</v>
      </c>
    </row>
    <row r="29" spans="1:9" x14ac:dyDescent="0.25">
      <c r="A29">
        <v>5</v>
      </c>
      <c r="B29">
        <v>1.7</v>
      </c>
      <c r="C29" t="s">
        <v>7</v>
      </c>
    </row>
    <row r="30" spans="1:9" x14ac:dyDescent="0.25">
      <c r="A30">
        <v>4.5</v>
      </c>
      <c r="B30">
        <v>1.5</v>
      </c>
      <c r="C30" t="s">
        <v>7</v>
      </c>
    </row>
    <row r="31" spans="1:9" x14ac:dyDescent="0.25">
      <c r="A31">
        <v>3.5</v>
      </c>
      <c r="B31">
        <v>1</v>
      </c>
      <c r="C31" t="s">
        <v>7</v>
      </c>
    </row>
    <row r="32" spans="1:9" x14ac:dyDescent="0.25">
      <c r="A32">
        <v>3.8</v>
      </c>
      <c r="B32">
        <v>1.1000000000000001</v>
      </c>
      <c r="C32" t="s">
        <v>7</v>
      </c>
    </row>
    <row r="33" spans="1:3" x14ac:dyDescent="0.25">
      <c r="A33">
        <v>3.7</v>
      </c>
      <c r="B33">
        <v>1</v>
      </c>
      <c r="C33" t="s">
        <v>7</v>
      </c>
    </row>
    <row r="34" spans="1:3" x14ac:dyDescent="0.25">
      <c r="A34">
        <v>3.9</v>
      </c>
      <c r="B34">
        <v>1.2</v>
      </c>
      <c r="C34" t="s">
        <v>7</v>
      </c>
    </row>
    <row r="35" spans="1:3" x14ac:dyDescent="0.25">
      <c r="A35">
        <v>5.0999999999999996</v>
      </c>
      <c r="B35">
        <v>1.6</v>
      </c>
      <c r="C35" t="s">
        <v>7</v>
      </c>
    </row>
    <row r="36" spans="1:3" x14ac:dyDescent="0.25">
      <c r="A36">
        <v>4.5</v>
      </c>
      <c r="B36">
        <v>1.5</v>
      </c>
      <c r="C36" t="s">
        <v>7</v>
      </c>
    </row>
    <row r="37" spans="1:3" x14ac:dyDescent="0.25">
      <c r="A37">
        <v>4.5</v>
      </c>
      <c r="B37">
        <v>1.6</v>
      </c>
      <c r="C37" t="s">
        <v>7</v>
      </c>
    </row>
    <row r="38" spans="1:3" x14ac:dyDescent="0.25">
      <c r="A38">
        <v>4.7</v>
      </c>
      <c r="B38">
        <v>1.5</v>
      </c>
      <c r="C38" t="s">
        <v>7</v>
      </c>
    </row>
    <row r="39" spans="1:3" x14ac:dyDescent="0.25">
      <c r="A39">
        <v>4.4000000000000004</v>
      </c>
      <c r="B39">
        <v>1.3</v>
      </c>
      <c r="C39" t="s">
        <v>7</v>
      </c>
    </row>
    <row r="40" spans="1:3" x14ac:dyDescent="0.25">
      <c r="A40">
        <v>4.0999999999999996</v>
      </c>
      <c r="B40">
        <v>1.3</v>
      </c>
      <c r="C40" t="s">
        <v>7</v>
      </c>
    </row>
    <row r="41" spans="1:3" x14ac:dyDescent="0.25">
      <c r="A41">
        <v>4</v>
      </c>
      <c r="B41">
        <v>1.3</v>
      </c>
      <c r="C41" t="s">
        <v>7</v>
      </c>
    </row>
    <row r="42" spans="1:3" x14ac:dyDescent="0.25">
      <c r="A42">
        <v>4.4000000000000004</v>
      </c>
      <c r="B42">
        <v>1.2</v>
      </c>
      <c r="C42" t="s">
        <v>7</v>
      </c>
    </row>
    <row r="43" spans="1:3" x14ac:dyDescent="0.25">
      <c r="A43">
        <v>4.5999999999999996</v>
      </c>
      <c r="B43">
        <v>1.4</v>
      </c>
      <c r="C43" t="s">
        <v>7</v>
      </c>
    </row>
    <row r="44" spans="1:3" x14ac:dyDescent="0.25">
      <c r="A44">
        <v>4</v>
      </c>
      <c r="B44">
        <v>1.2</v>
      </c>
      <c r="C44" t="s">
        <v>7</v>
      </c>
    </row>
    <row r="45" spans="1:3" x14ac:dyDescent="0.25">
      <c r="A45">
        <v>3.3</v>
      </c>
      <c r="B45">
        <v>1</v>
      </c>
      <c r="C45" t="s">
        <v>7</v>
      </c>
    </row>
    <row r="46" spans="1:3" x14ac:dyDescent="0.25">
      <c r="A46">
        <v>4.2</v>
      </c>
      <c r="B46">
        <v>1.3</v>
      </c>
      <c r="C46" t="s">
        <v>7</v>
      </c>
    </row>
    <row r="47" spans="1:3" x14ac:dyDescent="0.25">
      <c r="A47">
        <v>4.2</v>
      </c>
      <c r="B47">
        <v>1.2</v>
      </c>
      <c r="C47" t="s">
        <v>7</v>
      </c>
    </row>
    <row r="48" spans="1:3" x14ac:dyDescent="0.25">
      <c r="A48">
        <v>4.2</v>
      </c>
      <c r="B48">
        <v>1.3</v>
      </c>
      <c r="C48" t="s">
        <v>7</v>
      </c>
    </row>
    <row r="49" spans="1:3" x14ac:dyDescent="0.25">
      <c r="A49">
        <v>4.3</v>
      </c>
      <c r="B49">
        <v>1.3</v>
      </c>
      <c r="C49" t="s">
        <v>7</v>
      </c>
    </row>
    <row r="50" spans="1:3" x14ac:dyDescent="0.25">
      <c r="A50">
        <v>3</v>
      </c>
      <c r="B50">
        <v>1.1000000000000001</v>
      </c>
      <c r="C50" t="s">
        <v>7</v>
      </c>
    </row>
    <row r="51" spans="1:3" x14ac:dyDescent="0.25">
      <c r="A51">
        <v>4.0999999999999996</v>
      </c>
      <c r="B51">
        <v>1.3</v>
      </c>
      <c r="C51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1"/>
  <sheetViews>
    <sheetView topLeftCell="A2" workbookViewId="0">
      <selection activeCell="I24" sqref="I24"/>
    </sheetView>
  </sheetViews>
  <sheetFormatPr defaultRowHeight="15" x14ac:dyDescent="0.25"/>
  <cols>
    <col min="5" max="5" width="27.5703125" customWidth="1"/>
    <col min="8" max="8" width="27.42578125" customWidth="1"/>
  </cols>
  <sheetData>
    <row r="1" spans="1:9" ht="15.75" thickBot="1" x14ac:dyDescent="0.3">
      <c r="A1" t="s">
        <v>3</v>
      </c>
      <c r="B1" t="s">
        <v>4</v>
      </c>
      <c r="C1" t="s">
        <v>5</v>
      </c>
    </row>
    <row r="2" spans="1:9" x14ac:dyDescent="0.25">
      <c r="A2">
        <v>6</v>
      </c>
      <c r="B2">
        <v>2.5</v>
      </c>
      <c r="C2" t="s">
        <v>8</v>
      </c>
      <c r="E2" s="6" t="s">
        <v>43</v>
      </c>
      <c r="F2" s="6"/>
      <c r="H2" s="6" t="s">
        <v>44</v>
      </c>
      <c r="I2" s="6"/>
    </row>
    <row r="3" spans="1:9" x14ac:dyDescent="0.25">
      <c r="A3">
        <v>5.0999999999999996</v>
      </c>
      <c r="B3">
        <v>1.9</v>
      </c>
      <c r="C3" t="s">
        <v>8</v>
      </c>
      <c r="E3" s="4"/>
      <c r="F3" s="4"/>
      <c r="H3" s="4"/>
      <c r="I3" s="4"/>
    </row>
    <row r="4" spans="1:9" x14ac:dyDescent="0.25">
      <c r="A4">
        <v>5.9</v>
      </c>
      <c r="B4">
        <v>2.1</v>
      </c>
      <c r="C4" t="s">
        <v>8</v>
      </c>
      <c r="E4" s="4" t="s">
        <v>21</v>
      </c>
      <c r="F4" s="4">
        <v>5.5519999999999996</v>
      </c>
      <c r="H4" s="4" t="s">
        <v>21</v>
      </c>
      <c r="I4" s="4">
        <v>2.0259999999999998</v>
      </c>
    </row>
    <row r="5" spans="1:9" x14ac:dyDescent="0.25">
      <c r="A5">
        <v>5.6</v>
      </c>
      <c r="B5">
        <v>1.8</v>
      </c>
      <c r="C5" t="s">
        <v>8</v>
      </c>
      <c r="E5" s="4" t="s">
        <v>22</v>
      </c>
      <c r="F5" s="4">
        <v>7.8049696360977722E-2</v>
      </c>
      <c r="H5" s="4" t="s">
        <v>22</v>
      </c>
      <c r="I5" s="4">
        <v>3.8841383358790338E-2</v>
      </c>
    </row>
    <row r="6" spans="1:9" x14ac:dyDescent="0.25">
      <c r="A6">
        <v>5.8</v>
      </c>
      <c r="B6">
        <v>2.2000000000000002</v>
      </c>
      <c r="C6" t="s">
        <v>8</v>
      </c>
      <c r="E6" s="4" t="s">
        <v>23</v>
      </c>
      <c r="F6" s="4">
        <v>5.55</v>
      </c>
      <c r="H6" s="4" t="s">
        <v>23</v>
      </c>
      <c r="I6" s="4">
        <v>2</v>
      </c>
    </row>
    <row r="7" spans="1:9" x14ac:dyDescent="0.25">
      <c r="A7">
        <v>6.6</v>
      </c>
      <c r="B7">
        <v>2.1</v>
      </c>
      <c r="C7" t="s">
        <v>8</v>
      </c>
      <c r="E7" s="4" t="s">
        <v>24</v>
      </c>
      <c r="F7" s="4">
        <v>5.0999999999999996</v>
      </c>
      <c r="H7" s="4" t="s">
        <v>24</v>
      </c>
      <c r="I7" s="4">
        <v>1.8</v>
      </c>
    </row>
    <row r="8" spans="1:9" x14ac:dyDescent="0.25">
      <c r="A8">
        <v>4.5</v>
      </c>
      <c r="B8">
        <v>1.7</v>
      </c>
      <c r="C8" t="s">
        <v>8</v>
      </c>
      <c r="E8" s="4" t="s">
        <v>25</v>
      </c>
      <c r="F8" s="4">
        <v>0.55189469566398353</v>
      </c>
      <c r="H8" s="4" t="s">
        <v>25</v>
      </c>
      <c r="I8" s="4">
        <v>0.27465005563666967</v>
      </c>
    </row>
    <row r="9" spans="1:9" x14ac:dyDescent="0.25">
      <c r="A9">
        <v>6.3</v>
      </c>
      <c r="B9">
        <v>1.8</v>
      </c>
      <c r="C9" t="s">
        <v>8</v>
      </c>
      <c r="E9" s="4" t="s">
        <v>26</v>
      </c>
      <c r="F9" s="4">
        <v>0.304587755102041</v>
      </c>
      <c r="H9" s="4" t="s">
        <v>26</v>
      </c>
      <c r="I9" s="4">
        <v>7.5432653061225749E-2</v>
      </c>
    </row>
    <row r="10" spans="1:9" x14ac:dyDescent="0.25">
      <c r="A10">
        <v>5.8</v>
      </c>
      <c r="B10">
        <v>1.8</v>
      </c>
      <c r="C10" t="s">
        <v>8</v>
      </c>
      <c r="E10" s="4" t="s">
        <v>27</v>
      </c>
      <c r="F10" s="4">
        <v>-0.15377856095042741</v>
      </c>
      <c r="H10" s="4" t="s">
        <v>27</v>
      </c>
      <c r="I10" s="4">
        <v>-0.60226447955784623</v>
      </c>
    </row>
    <row r="11" spans="1:9" x14ac:dyDescent="0.25">
      <c r="A11">
        <v>6.1</v>
      </c>
      <c r="B11">
        <v>2.5</v>
      </c>
      <c r="C11" t="s">
        <v>8</v>
      </c>
      <c r="E11" s="4" t="s">
        <v>28</v>
      </c>
      <c r="F11" s="4">
        <v>0.54944458902701021</v>
      </c>
      <c r="H11" s="4" t="s">
        <v>28</v>
      </c>
      <c r="I11" s="4">
        <v>-0.12947693089709375</v>
      </c>
    </row>
    <row r="12" spans="1:9" x14ac:dyDescent="0.25">
      <c r="A12">
        <v>5.0999999999999996</v>
      </c>
      <c r="B12">
        <v>2</v>
      </c>
      <c r="C12" t="s">
        <v>8</v>
      </c>
      <c r="E12" s="4" t="s">
        <v>29</v>
      </c>
      <c r="F12" s="4">
        <v>2.4000000000000004</v>
      </c>
      <c r="H12" s="4" t="s">
        <v>29</v>
      </c>
      <c r="I12" s="4">
        <v>1.1000000000000001</v>
      </c>
    </row>
    <row r="13" spans="1:9" x14ac:dyDescent="0.25">
      <c r="A13">
        <v>5.3</v>
      </c>
      <c r="B13">
        <v>1.9</v>
      </c>
      <c r="C13" t="s">
        <v>8</v>
      </c>
      <c r="E13" s="4" t="s">
        <v>30</v>
      </c>
      <c r="F13" s="4">
        <v>4.5</v>
      </c>
      <c r="H13" s="4" t="s">
        <v>30</v>
      </c>
      <c r="I13" s="4">
        <v>1.4</v>
      </c>
    </row>
    <row r="14" spans="1:9" x14ac:dyDescent="0.25">
      <c r="A14">
        <v>5.5</v>
      </c>
      <c r="B14">
        <v>2.1</v>
      </c>
      <c r="C14" t="s">
        <v>8</v>
      </c>
      <c r="E14" s="4" t="s">
        <v>31</v>
      </c>
      <c r="F14" s="4">
        <v>6.9</v>
      </c>
      <c r="H14" s="4" t="s">
        <v>31</v>
      </c>
      <c r="I14" s="4">
        <v>2.5</v>
      </c>
    </row>
    <row r="15" spans="1:9" x14ac:dyDescent="0.25">
      <c r="A15">
        <v>5</v>
      </c>
      <c r="B15">
        <v>2</v>
      </c>
      <c r="C15" t="s">
        <v>8</v>
      </c>
      <c r="E15" s="4" t="s">
        <v>32</v>
      </c>
      <c r="F15" s="4">
        <v>277.59999999999997</v>
      </c>
      <c r="H15" s="4" t="s">
        <v>32</v>
      </c>
      <c r="I15" s="4">
        <v>101.29999999999998</v>
      </c>
    </row>
    <row r="16" spans="1:9" x14ac:dyDescent="0.25">
      <c r="A16">
        <v>5.0999999999999996</v>
      </c>
      <c r="B16">
        <v>2.4</v>
      </c>
      <c r="C16" t="s">
        <v>8</v>
      </c>
      <c r="E16" s="4" t="s">
        <v>33</v>
      </c>
      <c r="F16" s="4">
        <v>50</v>
      </c>
      <c r="H16" s="4" t="s">
        <v>33</v>
      </c>
      <c r="I16" s="4">
        <v>50</v>
      </c>
    </row>
    <row r="17" spans="1:9" x14ac:dyDescent="0.25">
      <c r="A17">
        <v>5.3</v>
      </c>
      <c r="B17">
        <v>2.2999999999999998</v>
      </c>
      <c r="C17" t="s">
        <v>8</v>
      </c>
      <c r="E17" s="4" t="s">
        <v>34</v>
      </c>
      <c r="F17" s="4">
        <v>6.9</v>
      </c>
      <c r="H17" s="4" t="s">
        <v>34</v>
      </c>
      <c r="I17" s="4">
        <v>2.5</v>
      </c>
    </row>
    <row r="18" spans="1:9" x14ac:dyDescent="0.25">
      <c r="A18">
        <v>5.5</v>
      </c>
      <c r="B18">
        <v>1.8</v>
      </c>
      <c r="C18" t="s">
        <v>8</v>
      </c>
      <c r="E18" s="4" t="s">
        <v>35</v>
      </c>
      <c r="F18" s="4">
        <v>4.5</v>
      </c>
      <c r="H18" s="4" t="s">
        <v>35</v>
      </c>
      <c r="I18" s="4">
        <v>1.4</v>
      </c>
    </row>
    <row r="19" spans="1:9" ht="15.75" thickBot="1" x14ac:dyDescent="0.3">
      <c r="A19">
        <v>6.7</v>
      </c>
      <c r="B19">
        <v>2.2000000000000002</v>
      </c>
      <c r="C19" t="s">
        <v>8</v>
      </c>
      <c r="E19" s="5" t="s">
        <v>36</v>
      </c>
      <c r="F19" s="5">
        <v>0.1568467370724769</v>
      </c>
      <c r="H19" s="5" t="s">
        <v>36</v>
      </c>
      <c r="I19" s="5">
        <v>7.805468217366876E-2</v>
      </c>
    </row>
    <row r="20" spans="1:9" x14ac:dyDescent="0.25">
      <c r="A20">
        <v>6.9</v>
      </c>
      <c r="B20">
        <v>2.2999999999999998</v>
      </c>
      <c r="C20" t="s">
        <v>8</v>
      </c>
    </row>
    <row r="21" spans="1:9" x14ac:dyDescent="0.25">
      <c r="A21">
        <v>5</v>
      </c>
      <c r="B21">
        <v>1.5</v>
      </c>
      <c r="C21" t="s">
        <v>8</v>
      </c>
      <c r="E21" t="s">
        <v>39</v>
      </c>
      <c r="H21" t="s">
        <v>42</v>
      </c>
    </row>
    <row r="22" spans="1:9" x14ac:dyDescent="0.25">
      <c r="A22">
        <v>5.7</v>
      </c>
      <c r="B22">
        <v>2.2999999999999998</v>
      </c>
      <c r="C22" t="s">
        <v>8</v>
      </c>
      <c r="E22" t="s">
        <v>40</v>
      </c>
      <c r="F22">
        <f>F4+F8</f>
        <v>6.1038946956639828</v>
      </c>
      <c r="H22" t="s">
        <v>40</v>
      </c>
      <c r="I22">
        <f>I4+I8</f>
        <v>2.3006500556366696</v>
      </c>
    </row>
    <row r="23" spans="1:9" x14ac:dyDescent="0.25">
      <c r="A23">
        <v>4.9000000000000004</v>
      </c>
      <c r="B23">
        <v>2</v>
      </c>
      <c r="C23" t="s">
        <v>8</v>
      </c>
      <c r="E23" t="s">
        <v>41</v>
      </c>
      <c r="F23">
        <f>F4-F8</f>
        <v>5.0001053043360164</v>
      </c>
      <c r="H23" t="s">
        <v>41</v>
      </c>
      <c r="I23">
        <f>I4-I8</f>
        <v>1.75134994436333</v>
      </c>
    </row>
    <row r="24" spans="1:9" x14ac:dyDescent="0.25">
      <c r="A24">
        <v>6.7</v>
      </c>
      <c r="B24">
        <v>2</v>
      </c>
      <c r="C24" t="s">
        <v>8</v>
      </c>
    </row>
    <row r="25" spans="1:9" x14ac:dyDescent="0.25">
      <c r="A25">
        <v>4.9000000000000004</v>
      </c>
      <c r="B25">
        <v>1.8</v>
      </c>
      <c r="C25" t="s">
        <v>8</v>
      </c>
    </row>
    <row r="26" spans="1:9" x14ac:dyDescent="0.25">
      <c r="A26">
        <v>5.7</v>
      </c>
      <c r="B26">
        <v>2.1</v>
      </c>
      <c r="C26" t="s">
        <v>8</v>
      </c>
    </row>
    <row r="27" spans="1:9" x14ac:dyDescent="0.25">
      <c r="A27">
        <v>6</v>
      </c>
      <c r="B27">
        <v>1.8</v>
      </c>
      <c r="C27" t="s">
        <v>8</v>
      </c>
    </row>
    <row r="28" spans="1:9" x14ac:dyDescent="0.25">
      <c r="A28">
        <v>4.8</v>
      </c>
      <c r="B28">
        <v>1.8</v>
      </c>
      <c r="C28" t="s">
        <v>8</v>
      </c>
    </row>
    <row r="29" spans="1:9" x14ac:dyDescent="0.25">
      <c r="A29">
        <v>4.9000000000000004</v>
      </c>
      <c r="B29">
        <v>1.8</v>
      </c>
      <c r="C29" t="s">
        <v>8</v>
      </c>
    </row>
    <row r="30" spans="1:9" x14ac:dyDescent="0.25">
      <c r="A30">
        <v>5.6</v>
      </c>
      <c r="B30">
        <v>2.1</v>
      </c>
      <c r="C30" t="s">
        <v>8</v>
      </c>
    </row>
    <row r="31" spans="1:9" x14ac:dyDescent="0.25">
      <c r="A31">
        <v>5.8</v>
      </c>
      <c r="B31">
        <v>1.6</v>
      </c>
      <c r="C31" t="s">
        <v>8</v>
      </c>
    </row>
    <row r="32" spans="1:9" x14ac:dyDescent="0.25">
      <c r="A32">
        <v>6.1</v>
      </c>
      <c r="B32">
        <v>1.9</v>
      </c>
      <c r="C32" t="s">
        <v>8</v>
      </c>
    </row>
    <row r="33" spans="1:3" x14ac:dyDescent="0.25">
      <c r="A33">
        <v>6.4</v>
      </c>
      <c r="B33">
        <v>2</v>
      </c>
      <c r="C33" t="s">
        <v>8</v>
      </c>
    </row>
    <row r="34" spans="1:3" x14ac:dyDescent="0.25">
      <c r="A34">
        <v>5.6</v>
      </c>
      <c r="B34">
        <v>2.2000000000000002</v>
      </c>
      <c r="C34" t="s">
        <v>8</v>
      </c>
    </row>
    <row r="35" spans="1:3" x14ac:dyDescent="0.25">
      <c r="A35">
        <v>5.0999999999999996</v>
      </c>
      <c r="B35">
        <v>1.5</v>
      </c>
      <c r="C35" t="s">
        <v>8</v>
      </c>
    </row>
    <row r="36" spans="1:3" x14ac:dyDescent="0.25">
      <c r="A36">
        <v>5.6</v>
      </c>
      <c r="B36">
        <v>1.4</v>
      </c>
      <c r="C36" t="s">
        <v>8</v>
      </c>
    </row>
    <row r="37" spans="1:3" x14ac:dyDescent="0.25">
      <c r="A37">
        <v>6.1</v>
      </c>
      <c r="B37">
        <v>2.2999999999999998</v>
      </c>
      <c r="C37" t="s">
        <v>8</v>
      </c>
    </row>
    <row r="38" spans="1:3" x14ac:dyDescent="0.25">
      <c r="A38">
        <v>5.6</v>
      </c>
      <c r="B38">
        <v>2.4</v>
      </c>
      <c r="C38" t="s">
        <v>8</v>
      </c>
    </row>
    <row r="39" spans="1:3" x14ac:dyDescent="0.25">
      <c r="A39">
        <v>5.5</v>
      </c>
      <c r="B39">
        <v>1.8</v>
      </c>
      <c r="C39" t="s">
        <v>8</v>
      </c>
    </row>
    <row r="40" spans="1:3" x14ac:dyDescent="0.25">
      <c r="A40">
        <v>4.8</v>
      </c>
      <c r="B40">
        <v>1.8</v>
      </c>
      <c r="C40" t="s">
        <v>8</v>
      </c>
    </row>
    <row r="41" spans="1:3" x14ac:dyDescent="0.25">
      <c r="A41">
        <v>5.4</v>
      </c>
      <c r="B41">
        <v>2.1</v>
      </c>
      <c r="C41" t="s">
        <v>8</v>
      </c>
    </row>
    <row r="42" spans="1:3" x14ac:dyDescent="0.25">
      <c r="A42">
        <v>5.6</v>
      </c>
      <c r="B42">
        <v>2.4</v>
      </c>
      <c r="C42" t="s">
        <v>8</v>
      </c>
    </row>
    <row r="43" spans="1:3" x14ac:dyDescent="0.25">
      <c r="A43">
        <v>5.0999999999999996</v>
      </c>
      <c r="B43">
        <v>2.2999999999999998</v>
      </c>
      <c r="C43" t="s">
        <v>8</v>
      </c>
    </row>
    <row r="44" spans="1:3" x14ac:dyDescent="0.25">
      <c r="A44">
        <v>5.0999999999999996</v>
      </c>
      <c r="B44">
        <v>1.9</v>
      </c>
      <c r="C44" t="s">
        <v>8</v>
      </c>
    </row>
    <row r="45" spans="1:3" x14ac:dyDescent="0.25">
      <c r="A45">
        <v>5.9</v>
      </c>
      <c r="B45">
        <v>2.2999999999999998</v>
      </c>
      <c r="C45" t="s">
        <v>8</v>
      </c>
    </row>
    <row r="46" spans="1:3" x14ac:dyDescent="0.25">
      <c r="A46">
        <v>5.7</v>
      </c>
      <c r="B46">
        <v>2.5</v>
      </c>
      <c r="C46" t="s">
        <v>8</v>
      </c>
    </row>
    <row r="47" spans="1:3" x14ac:dyDescent="0.25">
      <c r="A47">
        <v>5.2</v>
      </c>
      <c r="B47">
        <v>2.2999999999999998</v>
      </c>
      <c r="C47" t="s">
        <v>8</v>
      </c>
    </row>
    <row r="48" spans="1:3" x14ac:dyDescent="0.25">
      <c r="A48">
        <v>5</v>
      </c>
      <c r="B48">
        <v>1.9</v>
      </c>
      <c r="C48" t="s">
        <v>8</v>
      </c>
    </row>
    <row r="49" spans="1:3" x14ac:dyDescent="0.25">
      <c r="A49">
        <v>5.2</v>
      </c>
      <c r="B49">
        <v>2</v>
      </c>
      <c r="C49" t="s">
        <v>8</v>
      </c>
    </row>
    <row r="50" spans="1:3" x14ac:dyDescent="0.25">
      <c r="A50">
        <v>5.4</v>
      </c>
      <c r="B50">
        <v>2.2999999999999998</v>
      </c>
      <c r="C50" t="s">
        <v>8</v>
      </c>
    </row>
    <row r="51" spans="1:3" x14ac:dyDescent="0.25">
      <c r="A51">
        <v>5.0999999999999996</v>
      </c>
      <c r="B51">
        <v>1.8</v>
      </c>
      <c r="C51" t="s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1"/>
  <sheetViews>
    <sheetView topLeftCell="A24" workbookViewId="0">
      <selection activeCell="F26" sqref="F26"/>
    </sheetView>
  </sheetViews>
  <sheetFormatPr defaultRowHeight="15" x14ac:dyDescent="0.25"/>
  <sheetData>
    <row r="1" spans="1:5" x14ac:dyDescent="0.25">
      <c r="A1" t="s">
        <v>3</v>
      </c>
      <c r="B1" t="s">
        <v>4</v>
      </c>
      <c r="C1" t="s">
        <v>5</v>
      </c>
      <c r="D1" t="s">
        <v>9</v>
      </c>
      <c r="E1" t="s">
        <v>10</v>
      </c>
    </row>
    <row r="2" spans="1:5" x14ac:dyDescent="0.25">
      <c r="A2">
        <v>1.4</v>
      </c>
      <c r="B2">
        <v>0.2</v>
      </c>
      <c r="C2" t="s">
        <v>6</v>
      </c>
      <c r="D2">
        <f>IF(C2="Iris-setosa",1,IF(C2="Iris-versicolor",2,3))</f>
        <v>1</v>
      </c>
      <c r="E2">
        <f>IF(C2="Iris-setosa",3,IF(C2="Iris-versicolor",4,5))</f>
        <v>3</v>
      </c>
    </row>
    <row r="3" spans="1:5" x14ac:dyDescent="0.25">
      <c r="A3">
        <v>1.4</v>
      </c>
      <c r="B3">
        <v>0.2</v>
      </c>
      <c r="C3" t="s">
        <v>6</v>
      </c>
      <c r="D3">
        <f t="shared" ref="D3:D66" si="0">IF(C3="Iris-setosa",1,IF(C3="Iris-versicolor",2,3))</f>
        <v>1</v>
      </c>
      <c r="E3">
        <f t="shared" ref="E3:E66" si="1">IF(C3="Iris-setosa",3,IF(C3="Iris-versicolor",4,5))</f>
        <v>3</v>
      </c>
    </row>
    <row r="4" spans="1:5" x14ac:dyDescent="0.25">
      <c r="A4">
        <v>1.3</v>
      </c>
      <c r="B4">
        <v>0.2</v>
      </c>
      <c r="C4" t="s">
        <v>6</v>
      </c>
      <c r="D4">
        <f t="shared" si="0"/>
        <v>1</v>
      </c>
      <c r="E4">
        <f t="shared" si="1"/>
        <v>3</v>
      </c>
    </row>
    <row r="5" spans="1:5" x14ac:dyDescent="0.25">
      <c r="A5">
        <v>1.5</v>
      </c>
      <c r="B5">
        <v>0.2</v>
      </c>
      <c r="C5" t="s">
        <v>6</v>
      </c>
      <c r="D5">
        <f t="shared" si="0"/>
        <v>1</v>
      </c>
      <c r="E5">
        <f t="shared" si="1"/>
        <v>3</v>
      </c>
    </row>
    <row r="6" spans="1:5" x14ac:dyDescent="0.25">
      <c r="A6">
        <v>1.4</v>
      </c>
      <c r="B6">
        <v>0.2</v>
      </c>
      <c r="C6" t="s">
        <v>6</v>
      </c>
      <c r="D6">
        <f t="shared" si="0"/>
        <v>1</v>
      </c>
      <c r="E6">
        <f t="shared" si="1"/>
        <v>3</v>
      </c>
    </row>
    <row r="7" spans="1:5" x14ac:dyDescent="0.25">
      <c r="A7">
        <v>1.7</v>
      </c>
      <c r="B7">
        <v>0.4</v>
      </c>
      <c r="C7" t="s">
        <v>6</v>
      </c>
      <c r="D7">
        <f t="shared" si="0"/>
        <v>1</v>
      </c>
      <c r="E7">
        <f t="shared" si="1"/>
        <v>3</v>
      </c>
    </row>
    <row r="8" spans="1:5" x14ac:dyDescent="0.25">
      <c r="A8">
        <v>1.4</v>
      </c>
      <c r="B8">
        <v>0.3</v>
      </c>
      <c r="C8" t="s">
        <v>6</v>
      </c>
      <c r="D8">
        <f t="shared" si="0"/>
        <v>1</v>
      </c>
      <c r="E8">
        <f t="shared" si="1"/>
        <v>3</v>
      </c>
    </row>
    <row r="9" spans="1:5" x14ac:dyDescent="0.25">
      <c r="A9">
        <v>1.5</v>
      </c>
      <c r="B9">
        <v>0.2</v>
      </c>
      <c r="C9" t="s">
        <v>6</v>
      </c>
      <c r="D9">
        <f t="shared" si="0"/>
        <v>1</v>
      </c>
      <c r="E9">
        <f t="shared" si="1"/>
        <v>3</v>
      </c>
    </row>
    <row r="10" spans="1:5" x14ac:dyDescent="0.25">
      <c r="A10">
        <v>1.4</v>
      </c>
      <c r="B10">
        <v>0.2</v>
      </c>
      <c r="C10" t="s">
        <v>6</v>
      </c>
      <c r="D10">
        <f t="shared" si="0"/>
        <v>1</v>
      </c>
      <c r="E10">
        <f t="shared" si="1"/>
        <v>3</v>
      </c>
    </row>
    <row r="11" spans="1:5" x14ac:dyDescent="0.25">
      <c r="A11">
        <v>1.5</v>
      </c>
      <c r="B11">
        <v>0.1</v>
      </c>
      <c r="C11" t="s">
        <v>6</v>
      </c>
      <c r="D11">
        <f t="shared" si="0"/>
        <v>1</v>
      </c>
      <c r="E11">
        <f t="shared" si="1"/>
        <v>3</v>
      </c>
    </row>
    <row r="12" spans="1:5" x14ac:dyDescent="0.25">
      <c r="A12">
        <v>1.5</v>
      </c>
      <c r="B12">
        <v>0.2</v>
      </c>
      <c r="C12" t="s">
        <v>6</v>
      </c>
      <c r="D12">
        <f t="shared" si="0"/>
        <v>1</v>
      </c>
      <c r="E12">
        <f t="shared" si="1"/>
        <v>3</v>
      </c>
    </row>
    <row r="13" spans="1:5" x14ac:dyDescent="0.25">
      <c r="A13">
        <v>1.6</v>
      </c>
      <c r="B13">
        <v>0.2</v>
      </c>
      <c r="C13" t="s">
        <v>6</v>
      </c>
      <c r="D13">
        <f t="shared" si="0"/>
        <v>1</v>
      </c>
      <c r="E13">
        <f t="shared" si="1"/>
        <v>3</v>
      </c>
    </row>
    <row r="14" spans="1:5" x14ac:dyDescent="0.25">
      <c r="A14">
        <v>1.4</v>
      </c>
      <c r="B14">
        <v>0.1</v>
      </c>
      <c r="C14" t="s">
        <v>6</v>
      </c>
      <c r="D14">
        <f t="shared" si="0"/>
        <v>1</v>
      </c>
      <c r="E14">
        <f t="shared" si="1"/>
        <v>3</v>
      </c>
    </row>
    <row r="15" spans="1:5" x14ac:dyDescent="0.25">
      <c r="A15">
        <v>1.1000000000000001</v>
      </c>
      <c r="B15">
        <v>0.1</v>
      </c>
      <c r="C15" t="s">
        <v>6</v>
      </c>
      <c r="D15">
        <f t="shared" si="0"/>
        <v>1</v>
      </c>
      <c r="E15">
        <f t="shared" si="1"/>
        <v>3</v>
      </c>
    </row>
    <row r="16" spans="1:5" x14ac:dyDescent="0.25">
      <c r="A16">
        <v>1.2</v>
      </c>
      <c r="B16">
        <v>0.2</v>
      </c>
      <c r="C16" t="s">
        <v>6</v>
      </c>
      <c r="D16">
        <f t="shared" si="0"/>
        <v>1</v>
      </c>
      <c r="E16">
        <f t="shared" si="1"/>
        <v>3</v>
      </c>
    </row>
    <row r="17" spans="1:5" x14ac:dyDescent="0.25">
      <c r="A17">
        <v>1.5</v>
      </c>
      <c r="B17">
        <v>0.4</v>
      </c>
      <c r="C17" t="s">
        <v>6</v>
      </c>
      <c r="D17">
        <f t="shared" si="0"/>
        <v>1</v>
      </c>
      <c r="E17">
        <f t="shared" si="1"/>
        <v>3</v>
      </c>
    </row>
    <row r="18" spans="1:5" x14ac:dyDescent="0.25">
      <c r="A18">
        <v>1.3</v>
      </c>
      <c r="B18">
        <v>0.4</v>
      </c>
      <c r="C18" t="s">
        <v>6</v>
      </c>
      <c r="D18">
        <f t="shared" si="0"/>
        <v>1</v>
      </c>
      <c r="E18">
        <f t="shared" si="1"/>
        <v>3</v>
      </c>
    </row>
    <row r="19" spans="1:5" x14ac:dyDescent="0.25">
      <c r="A19">
        <v>1.4</v>
      </c>
      <c r="B19">
        <v>0.3</v>
      </c>
      <c r="C19" t="s">
        <v>6</v>
      </c>
      <c r="D19">
        <f t="shared" si="0"/>
        <v>1</v>
      </c>
      <c r="E19">
        <f t="shared" si="1"/>
        <v>3</v>
      </c>
    </row>
    <row r="20" spans="1:5" x14ac:dyDescent="0.25">
      <c r="A20">
        <v>1.7</v>
      </c>
      <c r="B20">
        <v>0.3</v>
      </c>
      <c r="C20" t="s">
        <v>6</v>
      </c>
      <c r="D20">
        <f t="shared" si="0"/>
        <v>1</v>
      </c>
      <c r="E20">
        <f t="shared" si="1"/>
        <v>3</v>
      </c>
    </row>
    <row r="21" spans="1:5" x14ac:dyDescent="0.25">
      <c r="A21">
        <v>1.5</v>
      </c>
      <c r="B21">
        <v>0.3</v>
      </c>
      <c r="C21" t="s">
        <v>6</v>
      </c>
      <c r="D21">
        <f t="shared" si="0"/>
        <v>1</v>
      </c>
      <c r="E21">
        <f t="shared" si="1"/>
        <v>3</v>
      </c>
    </row>
    <row r="22" spans="1:5" x14ac:dyDescent="0.25">
      <c r="A22">
        <v>1.7</v>
      </c>
      <c r="B22">
        <v>0.2</v>
      </c>
      <c r="C22" t="s">
        <v>6</v>
      </c>
      <c r="D22">
        <f t="shared" si="0"/>
        <v>1</v>
      </c>
      <c r="E22">
        <f t="shared" si="1"/>
        <v>3</v>
      </c>
    </row>
    <row r="23" spans="1:5" x14ac:dyDescent="0.25">
      <c r="A23">
        <v>1.5</v>
      </c>
      <c r="B23">
        <v>0.4</v>
      </c>
      <c r="C23" t="s">
        <v>6</v>
      </c>
      <c r="D23">
        <f t="shared" si="0"/>
        <v>1</v>
      </c>
      <c r="E23">
        <f t="shared" si="1"/>
        <v>3</v>
      </c>
    </row>
    <row r="24" spans="1:5" x14ac:dyDescent="0.25">
      <c r="A24">
        <v>1</v>
      </c>
      <c r="B24">
        <v>0.2</v>
      </c>
      <c r="C24" t="s">
        <v>6</v>
      </c>
      <c r="D24">
        <f t="shared" si="0"/>
        <v>1</v>
      </c>
      <c r="E24">
        <f t="shared" si="1"/>
        <v>3</v>
      </c>
    </row>
    <row r="25" spans="1:5" x14ac:dyDescent="0.25">
      <c r="A25">
        <v>1.7</v>
      </c>
      <c r="B25">
        <v>0.5</v>
      </c>
      <c r="C25" t="s">
        <v>6</v>
      </c>
      <c r="D25">
        <f t="shared" si="0"/>
        <v>1</v>
      </c>
      <c r="E25">
        <f t="shared" si="1"/>
        <v>3</v>
      </c>
    </row>
    <row r="26" spans="1:5" x14ac:dyDescent="0.25">
      <c r="A26">
        <v>1.9</v>
      </c>
      <c r="B26">
        <v>0.2</v>
      </c>
      <c r="C26" t="s">
        <v>6</v>
      </c>
      <c r="D26">
        <f t="shared" si="0"/>
        <v>1</v>
      </c>
      <c r="E26">
        <f t="shared" si="1"/>
        <v>3</v>
      </c>
    </row>
    <row r="27" spans="1:5" x14ac:dyDescent="0.25">
      <c r="A27">
        <v>1.6</v>
      </c>
      <c r="B27">
        <v>0.2</v>
      </c>
      <c r="C27" t="s">
        <v>6</v>
      </c>
      <c r="D27">
        <f t="shared" si="0"/>
        <v>1</v>
      </c>
      <c r="E27">
        <f t="shared" si="1"/>
        <v>3</v>
      </c>
    </row>
    <row r="28" spans="1:5" x14ac:dyDescent="0.25">
      <c r="A28">
        <v>1.6</v>
      </c>
      <c r="B28">
        <v>0.4</v>
      </c>
      <c r="C28" t="s">
        <v>6</v>
      </c>
      <c r="D28">
        <f t="shared" si="0"/>
        <v>1</v>
      </c>
      <c r="E28">
        <f t="shared" si="1"/>
        <v>3</v>
      </c>
    </row>
    <row r="29" spans="1:5" x14ac:dyDescent="0.25">
      <c r="A29">
        <v>1.5</v>
      </c>
      <c r="B29">
        <v>0.2</v>
      </c>
      <c r="C29" t="s">
        <v>6</v>
      </c>
      <c r="D29">
        <f t="shared" si="0"/>
        <v>1</v>
      </c>
      <c r="E29">
        <f t="shared" si="1"/>
        <v>3</v>
      </c>
    </row>
    <row r="30" spans="1:5" x14ac:dyDescent="0.25">
      <c r="A30">
        <v>1.4</v>
      </c>
      <c r="B30">
        <v>0.2</v>
      </c>
      <c r="C30" t="s">
        <v>6</v>
      </c>
      <c r="D30">
        <f t="shared" si="0"/>
        <v>1</v>
      </c>
      <c r="E30">
        <f t="shared" si="1"/>
        <v>3</v>
      </c>
    </row>
    <row r="31" spans="1:5" x14ac:dyDescent="0.25">
      <c r="A31">
        <v>1.6</v>
      </c>
      <c r="B31">
        <v>0.2</v>
      </c>
      <c r="C31" t="s">
        <v>6</v>
      </c>
      <c r="D31">
        <f t="shared" si="0"/>
        <v>1</v>
      </c>
      <c r="E31">
        <f t="shared" si="1"/>
        <v>3</v>
      </c>
    </row>
    <row r="32" spans="1:5" x14ac:dyDescent="0.25">
      <c r="A32">
        <v>1.6</v>
      </c>
      <c r="B32">
        <v>0.2</v>
      </c>
      <c r="C32" t="s">
        <v>6</v>
      </c>
      <c r="D32">
        <f t="shared" si="0"/>
        <v>1</v>
      </c>
      <c r="E32">
        <f t="shared" si="1"/>
        <v>3</v>
      </c>
    </row>
    <row r="33" spans="1:5" x14ac:dyDescent="0.25">
      <c r="A33">
        <v>1.5</v>
      </c>
      <c r="B33">
        <v>0.4</v>
      </c>
      <c r="C33" t="s">
        <v>6</v>
      </c>
      <c r="D33">
        <f t="shared" si="0"/>
        <v>1</v>
      </c>
      <c r="E33">
        <f t="shared" si="1"/>
        <v>3</v>
      </c>
    </row>
    <row r="34" spans="1:5" x14ac:dyDescent="0.25">
      <c r="A34">
        <v>1.5</v>
      </c>
      <c r="B34">
        <v>0.1</v>
      </c>
      <c r="C34" t="s">
        <v>6</v>
      </c>
      <c r="D34">
        <f t="shared" si="0"/>
        <v>1</v>
      </c>
      <c r="E34">
        <f t="shared" si="1"/>
        <v>3</v>
      </c>
    </row>
    <row r="35" spans="1:5" x14ac:dyDescent="0.25">
      <c r="A35">
        <v>1.4</v>
      </c>
      <c r="B35">
        <v>0.2</v>
      </c>
      <c r="C35" t="s">
        <v>6</v>
      </c>
      <c r="D35">
        <f t="shared" si="0"/>
        <v>1</v>
      </c>
      <c r="E35">
        <f t="shared" si="1"/>
        <v>3</v>
      </c>
    </row>
    <row r="36" spans="1:5" x14ac:dyDescent="0.25">
      <c r="A36">
        <v>1.5</v>
      </c>
      <c r="B36">
        <v>0.1</v>
      </c>
      <c r="C36" t="s">
        <v>6</v>
      </c>
      <c r="D36">
        <f t="shared" si="0"/>
        <v>1</v>
      </c>
      <c r="E36">
        <f t="shared" si="1"/>
        <v>3</v>
      </c>
    </row>
    <row r="37" spans="1:5" x14ac:dyDescent="0.25">
      <c r="A37">
        <v>1.2</v>
      </c>
      <c r="B37">
        <v>0.2</v>
      </c>
      <c r="C37" t="s">
        <v>6</v>
      </c>
      <c r="D37">
        <f t="shared" si="0"/>
        <v>1</v>
      </c>
      <c r="E37">
        <f t="shared" si="1"/>
        <v>3</v>
      </c>
    </row>
    <row r="38" spans="1:5" x14ac:dyDescent="0.25">
      <c r="A38">
        <v>1.3</v>
      </c>
      <c r="B38">
        <v>0.2</v>
      </c>
      <c r="C38" t="s">
        <v>6</v>
      </c>
      <c r="D38">
        <f t="shared" si="0"/>
        <v>1</v>
      </c>
      <c r="E38">
        <f t="shared" si="1"/>
        <v>3</v>
      </c>
    </row>
    <row r="39" spans="1:5" x14ac:dyDescent="0.25">
      <c r="A39">
        <v>1.5</v>
      </c>
      <c r="B39">
        <v>0.1</v>
      </c>
      <c r="C39" t="s">
        <v>6</v>
      </c>
      <c r="D39">
        <f t="shared" si="0"/>
        <v>1</v>
      </c>
      <c r="E39">
        <f t="shared" si="1"/>
        <v>3</v>
      </c>
    </row>
    <row r="40" spans="1:5" x14ac:dyDescent="0.25">
      <c r="A40">
        <v>1.3</v>
      </c>
      <c r="B40">
        <v>0.2</v>
      </c>
      <c r="C40" t="s">
        <v>6</v>
      </c>
      <c r="D40">
        <f t="shared" si="0"/>
        <v>1</v>
      </c>
      <c r="E40">
        <f t="shared" si="1"/>
        <v>3</v>
      </c>
    </row>
    <row r="41" spans="1:5" x14ac:dyDescent="0.25">
      <c r="A41">
        <v>1.5</v>
      </c>
      <c r="B41">
        <v>0.2</v>
      </c>
      <c r="C41" t="s">
        <v>6</v>
      </c>
      <c r="D41">
        <f t="shared" si="0"/>
        <v>1</v>
      </c>
      <c r="E41">
        <f t="shared" si="1"/>
        <v>3</v>
      </c>
    </row>
    <row r="42" spans="1:5" x14ac:dyDescent="0.25">
      <c r="A42">
        <v>1.3</v>
      </c>
      <c r="B42">
        <v>0.3</v>
      </c>
      <c r="C42" t="s">
        <v>6</v>
      </c>
      <c r="D42">
        <f t="shared" si="0"/>
        <v>1</v>
      </c>
      <c r="E42">
        <f t="shared" si="1"/>
        <v>3</v>
      </c>
    </row>
    <row r="43" spans="1:5" x14ac:dyDescent="0.25">
      <c r="A43">
        <v>1.3</v>
      </c>
      <c r="B43">
        <v>0.3</v>
      </c>
      <c r="C43" t="s">
        <v>6</v>
      </c>
      <c r="D43">
        <f t="shared" si="0"/>
        <v>1</v>
      </c>
      <c r="E43">
        <f t="shared" si="1"/>
        <v>3</v>
      </c>
    </row>
    <row r="44" spans="1:5" x14ac:dyDescent="0.25">
      <c r="A44">
        <v>1.3</v>
      </c>
      <c r="B44">
        <v>0.2</v>
      </c>
      <c r="C44" t="s">
        <v>6</v>
      </c>
      <c r="D44">
        <f t="shared" si="0"/>
        <v>1</v>
      </c>
      <c r="E44">
        <f t="shared" si="1"/>
        <v>3</v>
      </c>
    </row>
    <row r="45" spans="1:5" x14ac:dyDescent="0.25">
      <c r="A45">
        <v>1.6</v>
      </c>
      <c r="B45">
        <v>0.6</v>
      </c>
      <c r="C45" t="s">
        <v>6</v>
      </c>
      <c r="D45">
        <f t="shared" si="0"/>
        <v>1</v>
      </c>
      <c r="E45">
        <f t="shared" si="1"/>
        <v>3</v>
      </c>
    </row>
    <row r="46" spans="1:5" x14ac:dyDescent="0.25">
      <c r="A46">
        <v>1.9</v>
      </c>
      <c r="B46">
        <v>0.4</v>
      </c>
      <c r="C46" t="s">
        <v>6</v>
      </c>
      <c r="D46">
        <f t="shared" si="0"/>
        <v>1</v>
      </c>
      <c r="E46">
        <f t="shared" si="1"/>
        <v>3</v>
      </c>
    </row>
    <row r="47" spans="1:5" x14ac:dyDescent="0.25">
      <c r="A47">
        <v>1.4</v>
      </c>
      <c r="B47">
        <v>0.3</v>
      </c>
      <c r="C47" t="s">
        <v>6</v>
      </c>
      <c r="D47">
        <f t="shared" si="0"/>
        <v>1</v>
      </c>
      <c r="E47">
        <f t="shared" si="1"/>
        <v>3</v>
      </c>
    </row>
    <row r="48" spans="1:5" x14ac:dyDescent="0.25">
      <c r="A48">
        <v>1.6</v>
      </c>
      <c r="B48">
        <v>0.2</v>
      </c>
      <c r="C48" t="s">
        <v>6</v>
      </c>
      <c r="D48">
        <f t="shared" si="0"/>
        <v>1</v>
      </c>
      <c r="E48">
        <f t="shared" si="1"/>
        <v>3</v>
      </c>
    </row>
    <row r="49" spans="1:5" x14ac:dyDescent="0.25">
      <c r="A49">
        <v>1.4</v>
      </c>
      <c r="B49">
        <v>0.2</v>
      </c>
      <c r="C49" t="s">
        <v>6</v>
      </c>
      <c r="D49">
        <f t="shared" si="0"/>
        <v>1</v>
      </c>
      <c r="E49">
        <f t="shared" si="1"/>
        <v>3</v>
      </c>
    </row>
    <row r="50" spans="1:5" x14ac:dyDescent="0.25">
      <c r="A50">
        <v>1.5</v>
      </c>
      <c r="B50">
        <v>0.2</v>
      </c>
      <c r="C50" t="s">
        <v>6</v>
      </c>
      <c r="D50">
        <f t="shared" si="0"/>
        <v>1</v>
      </c>
      <c r="E50">
        <f t="shared" si="1"/>
        <v>3</v>
      </c>
    </row>
    <row r="51" spans="1:5" x14ac:dyDescent="0.25">
      <c r="A51">
        <v>1.4</v>
      </c>
      <c r="B51">
        <v>0.2</v>
      </c>
      <c r="C51" t="s">
        <v>6</v>
      </c>
      <c r="D51">
        <f t="shared" si="0"/>
        <v>1</v>
      </c>
      <c r="E51">
        <f t="shared" si="1"/>
        <v>3</v>
      </c>
    </row>
    <row r="52" spans="1:5" x14ac:dyDescent="0.25">
      <c r="A52">
        <v>4.7</v>
      </c>
      <c r="B52">
        <v>1.4</v>
      </c>
      <c r="C52" t="s">
        <v>7</v>
      </c>
      <c r="D52">
        <f t="shared" si="0"/>
        <v>2</v>
      </c>
      <c r="E52">
        <f t="shared" si="1"/>
        <v>4</v>
      </c>
    </row>
    <row r="53" spans="1:5" x14ac:dyDescent="0.25">
      <c r="A53">
        <v>4.5</v>
      </c>
      <c r="B53">
        <v>1.5</v>
      </c>
      <c r="C53" t="s">
        <v>7</v>
      </c>
      <c r="D53">
        <f t="shared" si="0"/>
        <v>2</v>
      </c>
      <c r="E53">
        <f t="shared" si="1"/>
        <v>4</v>
      </c>
    </row>
    <row r="54" spans="1:5" x14ac:dyDescent="0.25">
      <c r="A54">
        <v>4.9000000000000004</v>
      </c>
      <c r="B54">
        <v>1.5</v>
      </c>
      <c r="C54" t="s">
        <v>7</v>
      </c>
      <c r="D54">
        <f t="shared" si="0"/>
        <v>2</v>
      </c>
      <c r="E54">
        <f t="shared" si="1"/>
        <v>4</v>
      </c>
    </row>
    <row r="55" spans="1:5" x14ac:dyDescent="0.25">
      <c r="A55">
        <v>4</v>
      </c>
      <c r="B55">
        <v>1.3</v>
      </c>
      <c r="C55" t="s">
        <v>7</v>
      </c>
      <c r="D55">
        <f t="shared" si="0"/>
        <v>2</v>
      </c>
      <c r="E55">
        <f t="shared" si="1"/>
        <v>4</v>
      </c>
    </row>
    <row r="56" spans="1:5" x14ac:dyDescent="0.25">
      <c r="A56">
        <v>4.5999999999999996</v>
      </c>
      <c r="B56">
        <v>1.5</v>
      </c>
      <c r="C56" t="s">
        <v>7</v>
      </c>
      <c r="D56">
        <f t="shared" si="0"/>
        <v>2</v>
      </c>
      <c r="E56">
        <f t="shared" si="1"/>
        <v>4</v>
      </c>
    </row>
    <row r="57" spans="1:5" x14ac:dyDescent="0.25">
      <c r="A57">
        <v>4.5</v>
      </c>
      <c r="B57">
        <v>1.3</v>
      </c>
      <c r="C57" t="s">
        <v>7</v>
      </c>
      <c r="D57">
        <f t="shared" si="0"/>
        <v>2</v>
      </c>
      <c r="E57">
        <f t="shared" si="1"/>
        <v>4</v>
      </c>
    </row>
    <row r="58" spans="1:5" x14ac:dyDescent="0.25">
      <c r="A58">
        <v>4.7</v>
      </c>
      <c r="B58">
        <v>1.6</v>
      </c>
      <c r="C58" t="s">
        <v>7</v>
      </c>
      <c r="D58">
        <f t="shared" si="0"/>
        <v>2</v>
      </c>
      <c r="E58">
        <f t="shared" si="1"/>
        <v>4</v>
      </c>
    </row>
    <row r="59" spans="1:5" x14ac:dyDescent="0.25">
      <c r="A59">
        <v>3.3</v>
      </c>
      <c r="B59">
        <v>1</v>
      </c>
      <c r="C59" t="s">
        <v>7</v>
      </c>
      <c r="D59">
        <f t="shared" si="0"/>
        <v>2</v>
      </c>
      <c r="E59">
        <f t="shared" si="1"/>
        <v>4</v>
      </c>
    </row>
    <row r="60" spans="1:5" x14ac:dyDescent="0.25">
      <c r="A60">
        <v>4.5999999999999996</v>
      </c>
      <c r="B60">
        <v>1.3</v>
      </c>
      <c r="C60" t="s">
        <v>7</v>
      </c>
      <c r="D60">
        <f t="shared" si="0"/>
        <v>2</v>
      </c>
      <c r="E60">
        <f t="shared" si="1"/>
        <v>4</v>
      </c>
    </row>
    <row r="61" spans="1:5" x14ac:dyDescent="0.25">
      <c r="A61">
        <v>3.9</v>
      </c>
      <c r="B61">
        <v>1.4</v>
      </c>
      <c r="C61" t="s">
        <v>7</v>
      </c>
      <c r="D61">
        <f t="shared" si="0"/>
        <v>2</v>
      </c>
      <c r="E61">
        <f t="shared" si="1"/>
        <v>4</v>
      </c>
    </row>
    <row r="62" spans="1:5" x14ac:dyDescent="0.25">
      <c r="A62">
        <v>3.5</v>
      </c>
      <c r="B62">
        <v>1</v>
      </c>
      <c r="C62" t="s">
        <v>7</v>
      </c>
      <c r="D62">
        <f t="shared" si="0"/>
        <v>2</v>
      </c>
      <c r="E62">
        <f t="shared" si="1"/>
        <v>4</v>
      </c>
    </row>
    <row r="63" spans="1:5" x14ac:dyDescent="0.25">
      <c r="A63">
        <v>4.2</v>
      </c>
      <c r="B63">
        <v>1.5</v>
      </c>
      <c r="C63" t="s">
        <v>7</v>
      </c>
      <c r="D63">
        <f t="shared" si="0"/>
        <v>2</v>
      </c>
      <c r="E63">
        <f t="shared" si="1"/>
        <v>4</v>
      </c>
    </row>
    <row r="64" spans="1:5" x14ac:dyDescent="0.25">
      <c r="A64">
        <v>4</v>
      </c>
      <c r="B64">
        <v>1</v>
      </c>
      <c r="C64" t="s">
        <v>7</v>
      </c>
      <c r="D64">
        <f t="shared" si="0"/>
        <v>2</v>
      </c>
      <c r="E64">
        <f t="shared" si="1"/>
        <v>4</v>
      </c>
    </row>
    <row r="65" spans="1:5" x14ac:dyDescent="0.25">
      <c r="A65">
        <v>4.7</v>
      </c>
      <c r="B65">
        <v>1.4</v>
      </c>
      <c r="C65" t="s">
        <v>7</v>
      </c>
      <c r="D65">
        <f t="shared" si="0"/>
        <v>2</v>
      </c>
      <c r="E65">
        <f t="shared" si="1"/>
        <v>4</v>
      </c>
    </row>
    <row r="66" spans="1:5" x14ac:dyDescent="0.25">
      <c r="A66">
        <v>3.6</v>
      </c>
      <c r="B66">
        <v>1.3</v>
      </c>
      <c r="C66" t="s">
        <v>7</v>
      </c>
      <c r="D66">
        <f t="shared" si="0"/>
        <v>2</v>
      </c>
      <c r="E66">
        <f t="shared" si="1"/>
        <v>4</v>
      </c>
    </row>
    <row r="67" spans="1:5" x14ac:dyDescent="0.25">
      <c r="A67">
        <v>4.4000000000000004</v>
      </c>
      <c r="B67">
        <v>1.4</v>
      </c>
      <c r="C67" t="s">
        <v>7</v>
      </c>
      <c r="D67">
        <f t="shared" ref="D67:D130" si="2">IF(C67="Iris-setosa",1,IF(C67="Iris-versicolor",2,3))</f>
        <v>2</v>
      </c>
      <c r="E67">
        <f t="shared" ref="E67:E82" si="3">IF(C67="Iris-setosa",3,IF(C67="Iris-versicolor",4,5))</f>
        <v>4</v>
      </c>
    </row>
    <row r="68" spans="1:5" x14ac:dyDescent="0.25">
      <c r="A68">
        <v>4.5</v>
      </c>
      <c r="B68">
        <v>1.5</v>
      </c>
      <c r="C68" t="s">
        <v>7</v>
      </c>
      <c r="D68">
        <f t="shared" si="2"/>
        <v>2</v>
      </c>
      <c r="E68">
        <f t="shared" si="3"/>
        <v>4</v>
      </c>
    </row>
    <row r="69" spans="1:5" x14ac:dyDescent="0.25">
      <c r="A69">
        <v>4.0999999999999996</v>
      </c>
      <c r="B69">
        <v>1</v>
      </c>
      <c r="C69" t="s">
        <v>7</v>
      </c>
      <c r="D69">
        <f t="shared" si="2"/>
        <v>2</v>
      </c>
      <c r="E69">
        <f t="shared" si="3"/>
        <v>4</v>
      </c>
    </row>
    <row r="70" spans="1:5" x14ac:dyDescent="0.25">
      <c r="A70">
        <v>4.5</v>
      </c>
      <c r="B70">
        <v>1.5</v>
      </c>
      <c r="C70" t="s">
        <v>7</v>
      </c>
      <c r="D70">
        <f t="shared" si="2"/>
        <v>2</v>
      </c>
      <c r="E70">
        <f t="shared" si="3"/>
        <v>4</v>
      </c>
    </row>
    <row r="71" spans="1:5" x14ac:dyDescent="0.25">
      <c r="A71">
        <v>3.9</v>
      </c>
      <c r="B71">
        <v>1.1000000000000001</v>
      </c>
      <c r="C71" t="s">
        <v>7</v>
      </c>
      <c r="D71">
        <f t="shared" si="2"/>
        <v>2</v>
      </c>
      <c r="E71">
        <f t="shared" si="3"/>
        <v>4</v>
      </c>
    </row>
    <row r="72" spans="1:5" x14ac:dyDescent="0.25">
      <c r="A72">
        <v>4.8</v>
      </c>
      <c r="B72">
        <v>1.8</v>
      </c>
      <c r="C72" t="s">
        <v>7</v>
      </c>
      <c r="D72">
        <f t="shared" si="2"/>
        <v>2</v>
      </c>
      <c r="E72">
        <f t="shared" si="3"/>
        <v>4</v>
      </c>
    </row>
    <row r="73" spans="1:5" x14ac:dyDescent="0.25">
      <c r="A73">
        <v>4</v>
      </c>
      <c r="B73">
        <v>1.3</v>
      </c>
      <c r="C73" t="s">
        <v>7</v>
      </c>
      <c r="D73">
        <f t="shared" si="2"/>
        <v>2</v>
      </c>
      <c r="E73">
        <f t="shared" si="3"/>
        <v>4</v>
      </c>
    </row>
    <row r="74" spans="1:5" x14ac:dyDescent="0.25">
      <c r="A74">
        <v>4.9000000000000004</v>
      </c>
      <c r="B74">
        <v>1.5</v>
      </c>
      <c r="C74" t="s">
        <v>7</v>
      </c>
      <c r="D74">
        <f t="shared" si="2"/>
        <v>2</v>
      </c>
      <c r="E74">
        <f t="shared" si="3"/>
        <v>4</v>
      </c>
    </row>
    <row r="75" spans="1:5" x14ac:dyDescent="0.25">
      <c r="A75">
        <v>4.7</v>
      </c>
      <c r="B75">
        <v>1.2</v>
      </c>
      <c r="C75" t="s">
        <v>7</v>
      </c>
      <c r="D75">
        <f t="shared" si="2"/>
        <v>2</v>
      </c>
      <c r="E75">
        <f t="shared" si="3"/>
        <v>4</v>
      </c>
    </row>
    <row r="76" spans="1:5" x14ac:dyDescent="0.25">
      <c r="A76">
        <v>4.3</v>
      </c>
      <c r="B76">
        <v>1.3</v>
      </c>
      <c r="C76" t="s">
        <v>7</v>
      </c>
      <c r="D76">
        <f t="shared" si="2"/>
        <v>2</v>
      </c>
      <c r="E76">
        <f t="shared" si="3"/>
        <v>4</v>
      </c>
    </row>
    <row r="77" spans="1:5" x14ac:dyDescent="0.25">
      <c r="A77">
        <v>4.4000000000000004</v>
      </c>
      <c r="B77">
        <v>1.4</v>
      </c>
      <c r="C77" t="s">
        <v>7</v>
      </c>
      <c r="D77">
        <f t="shared" si="2"/>
        <v>2</v>
      </c>
      <c r="E77">
        <f t="shared" si="3"/>
        <v>4</v>
      </c>
    </row>
    <row r="78" spans="1:5" x14ac:dyDescent="0.25">
      <c r="A78">
        <v>4.8</v>
      </c>
      <c r="B78">
        <v>1.4</v>
      </c>
      <c r="C78" t="s">
        <v>7</v>
      </c>
      <c r="D78">
        <f t="shared" si="2"/>
        <v>2</v>
      </c>
      <c r="E78">
        <f t="shared" si="3"/>
        <v>4</v>
      </c>
    </row>
    <row r="79" spans="1:5" x14ac:dyDescent="0.25">
      <c r="A79">
        <v>5</v>
      </c>
      <c r="B79">
        <v>1.7</v>
      </c>
      <c r="C79" t="s">
        <v>7</v>
      </c>
      <c r="D79">
        <f t="shared" si="2"/>
        <v>2</v>
      </c>
      <c r="E79">
        <f t="shared" si="3"/>
        <v>4</v>
      </c>
    </row>
    <row r="80" spans="1:5" x14ac:dyDescent="0.25">
      <c r="A80">
        <v>4.5</v>
      </c>
      <c r="B80">
        <v>1.5</v>
      </c>
      <c r="C80" t="s">
        <v>7</v>
      </c>
      <c r="D80">
        <f t="shared" si="2"/>
        <v>2</v>
      </c>
      <c r="E80">
        <f t="shared" si="3"/>
        <v>4</v>
      </c>
    </row>
    <row r="81" spans="1:5" x14ac:dyDescent="0.25">
      <c r="A81">
        <v>3.5</v>
      </c>
      <c r="B81">
        <v>1</v>
      </c>
      <c r="C81" t="s">
        <v>7</v>
      </c>
      <c r="D81">
        <f t="shared" si="2"/>
        <v>2</v>
      </c>
      <c r="E81">
        <f t="shared" si="3"/>
        <v>4</v>
      </c>
    </row>
    <row r="82" spans="1:5" x14ac:dyDescent="0.25">
      <c r="A82">
        <v>3.8</v>
      </c>
      <c r="B82">
        <v>1.1000000000000001</v>
      </c>
      <c r="C82" t="s">
        <v>7</v>
      </c>
      <c r="D82">
        <f t="shared" si="2"/>
        <v>2</v>
      </c>
      <c r="E82">
        <f t="shared" si="3"/>
        <v>4</v>
      </c>
    </row>
    <row r="83" spans="1:5" x14ac:dyDescent="0.25">
      <c r="A83">
        <v>3.7</v>
      </c>
      <c r="B83">
        <v>1</v>
      </c>
      <c r="C83" t="s">
        <v>7</v>
      </c>
      <c r="D83">
        <f t="shared" si="2"/>
        <v>2</v>
      </c>
      <c r="E83">
        <f>IF(C83="Iris-setosa",3,IF(C83="Iris-versicolor",4,5))</f>
        <v>4</v>
      </c>
    </row>
    <row r="84" spans="1:5" x14ac:dyDescent="0.25">
      <c r="A84">
        <v>3.9</v>
      </c>
      <c r="B84">
        <v>1.2</v>
      </c>
      <c r="C84" t="s">
        <v>7</v>
      </c>
      <c r="D84">
        <f t="shared" si="2"/>
        <v>2</v>
      </c>
      <c r="E84">
        <f t="shared" ref="E84:E112" si="4">IF(C84="Iris-setosa",3,IF(C84="Iris-versicolor",4,5))</f>
        <v>4</v>
      </c>
    </row>
    <row r="85" spans="1:5" x14ac:dyDescent="0.25">
      <c r="A85">
        <v>5.0999999999999996</v>
      </c>
      <c r="B85">
        <v>1.6</v>
      </c>
      <c r="C85" t="s">
        <v>7</v>
      </c>
      <c r="D85">
        <f t="shared" si="2"/>
        <v>2</v>
      </c>
      <c r="E85">
        <f t="shared" si="4"/>
        <v>4</v>
      </c>
    </row>
    <row r="86" spans="1:5" x14ac:dyDescent="0.25">
      <c r="A86">
        <v>4.5</v>
      </c>
      <c r="B86">
        <v>1.5</v>
      </c>
      <c r="C86" t="s">
        <v>7</v>
      </c>
      <c r="D86">
        <f t="shared" si="2"/>
        <v>2</v>
      </c>
      <c r="E86">
        <f t="shared" si="4"/>
        <v>4</v>
      </c>
    </row>
    <row r="87" spans="1:5" x14ac:dyDescent="0.25">
      <c r="A87">
        <v>4.5</v>
      </c>
      <c r="B87">
        <v>1.6</v>
      </c>
      <c r="C87" t="s">
        <v>7</v>
      </c>
      <c r="D87">
        <f t="shared" si="2"/>
        <v>2</v>
      </c>
      <c r="E87">
        <f t="shared" si="4"/>
        <v>4</v>
      </c>
    </row>
    <row r="88" spans="1:5" x14ac:dyDescent="0.25">
      <c r="A88">
        <v>4.7</v>
      </c>
      <c r="B88">
        <v>1.5</v>
      </c>
      <c r="C88" t="s">
        <v>7</v>
      </c>
      <c r="D88">
        <f t="shared" si="2"/>
        <v>2</v>
      </c>
      <c r="E88">
        <f t="shared" si="4"/>
        <v>4</v>
      </c>
    </row>
    <row r="89" spans="1:5" x14ac:dyDescent="0.25">
      <c r="A89">
        <v>4.4000000000000004</v>
      </c>
      <c r="B89">
        <v>1.3</v>
      </c>
      <c r="C89" t="s">
        <v>7</v>
      </c>
      <c r="D89">
        <f t="shared" si="2"/>
        <v>2</v>
      </c>
      <c r="E89">
        <f t="shared" si="4"/>
        <v>4</v>
      </c>
    </row>
    <row r="90" spans="1:5" x14ac:dyDescent="0.25">
      <c r="A90">
        <v>4.0999999999999996</v>
      </c>
      <c r="B90">
        <v>1.3</v>
      </c>
      <c r="C90" t="s">
        <v>7</v>
      </c>
      <c r="D90">
        <f t="shared" si="2"/>
        <v>2</v>
      </c>
      <c r="E90">
        <f t="shared" si="4"/>
        <v>4</v>
      </c>
    </row>
    <row r="91" spans="1:5" x14ac:dyDescent="0.25">
      <c r="A91">
        <v>4</v>
      </c>
      <c r="B91">
        <v>1.3</v>
      </c>
      <c r="C91" t="s">
        <v>7</v>
      </c>
      <c r="D91">
        <f t="shared" si="2"/>
        <v>2</v>
      </c>
      <c r="E91">
        <f t="shared" si="4"/>
        <v>4</v>
      </c>
    </row>
    <row r="92" spans="1:5" x14ac:dyDescent="0.25">
      <c r="A92">
        <v>4.4000000000000004</v>
      </c>
      <c r="B92">
        <v>1.2</v>
      </c>
      <c r="C92" t="s">
        <v>7</v>
      </c>
      <c r="D92">
        <f t="shared" si="2"/>
        <v>2</v>
      </c>
      <c r="E92">
        <f t="shared" si="4"/>
        <v>4</v>
      </c>
    </row>
    <row r="93" spans="1:5" x14ac:dyDescent="0.25">
      <c r="A93">
        <v>4.5999999999999996</v>
      </c>
      <c r="B93">
        <v>1.4</v>
      </c>
      <c r="C93" t="s">
        <v>7</v>
      </c>
      <c r="D93">
        <f t="shared" si="2"/>
        <v>2</v>
      </c>
      <c r="E93">
        <f t="shared" si="4"/>
        <v>4</v>
      </c>
    </row>
    <row r="94" spans="1:5" x14ac:dyDescent="0.25">
      <c r="A94">
        <v>4</v>
      </c>
      <c r="B94">
        <v>1.2</v>
      </c>
      <c r="C94" t="s">
        <v>7</v>
      </c>
      <c r="D94">
        <f t="shared" si="2"/>
        <v>2</v>
      </c>
      <c r="E94">
        <f t="shared" si="4"/>
        <v>4</v>
      </c>
    </row>
    <row r="95" spans="1:5" x14ac:dyDescent="0.25">
      <c r="A95">
        <v>3.3</v>
      </c>
      <c r="B95">
        <v>1</v>
      </c>
      <c r="C95" t="s">
        <v>7</v>
      </c>
      <c r="D95">
        <f t="shared" si="2"/>
        <v>2</v>
      </c>
      <c r="E95">
        <f t="shared" si="4"/>
        <v>4</v>
      </c>
    </row>
    <row r="96" spans="1:5" x14ac:dyDescent="0.25">
      <c r="A96">
        <v>4.2</v>
      </c>
      <c r="B96">
        <v>1.3</v>
      </c>
      <c r="C96" t="s">
        <v>7</v>
      </c>
      <c r="D96">
        <f t="shared" si="2"/>
        <v>2</v>
      </c>
      <c r="E96">
        <f t="shared" si="4"/>
        <v>4</v>
      </c>
    </row>
    <row r="97" spans="1:5" x14ac:dyDescent="0.25">
      <c r="A97">
        <v>4.2</v>
      </c>
      <c r="B97">
        <v>1.2</v>
      </c>
      <c r="C97" t="s">
        <v>7</v>
      </c>
      <c r="D97">
        <f t="shared" si="2"/>
        <v>2</v>
      </c>
      <c r="E97">
        <f t="shared" si="4"/>
        <v>4</v>
      </c>
    </row>
    <row r="98" spans="1:5" x14ac:dyDescent="0.25">
      <c r="A98">
        <v>4.2</v>
      </c>
      <c r="B98">
        <v>1.3</v>
      </c>
      <c r="C98" t="s">
        <v>7</v>
      </c>
      <c r="D98">
        <f t="shared" si="2"/>
        <v>2</v>
      </c>
      <c r="E98">
        <f t="shared" si="4"/>
        <v>4</v>
      </c>
    </row>
    <row r="99" spans="1:5" x14ac:dyDescent="0.25">
      <c r="A99">
        <v>4.3</v>
      </c>
      <c r="B99">
        <v>1.3</v>
      </c>
      <c r="C99" t="s">
        <v>7</v>
      </c>
      <c r="D99">
        <f t="shared" si="2"/>
        <v>2</v>
      </c>
      <c r="E99">
        <f t="shared" si="4"/>
        <v>4</v>
      </c>
    </row>
    <row r="100" spans="1:5" x14ac:dyDescent="0.25">
      <c r="A100">
        <v>3</v>
      </c>
      <c r="B100">
        <v>1.1000000000000001</v>
      </c>
      <c r="C100" t="s">
        <v>7</v>
      </c>
      <c r="D100">
        <f t="shared" si="2"/>
        <v>2</v>
      </c>
      <c r="E100">
        <f t="shared" si="4"/>
        <v>4</v>
      </c>
    </row>
    <row r="101" spans="1:5" x14ac:dyDescent="0.25">
      <c r="A101">
        <v>4.0999999999999996</v>
      </c>
      <c r="B101">
        <v>1.3</v>
      </c>
      <c r="C101" t="s">
        <v>7</v>
      </c>
      <c r="D101">
        <f t="shared" si="2"/>
        <v>2</v>
      </c>
      <c r="E101">
        <f t="shared" si="4"/>
        <v>4</v>
      </c>
    </row>
    <row r="102" spans="1:5" x14ac:dyDescent="0.25">
      <c r="A102">
        <v>6</v>
      </c>
      <c r="B102">
        <v>2.5</v>
      </c>
      <c r="C102" t="s">
        <v>8</v>
      </c>
      <c r="D102">
        <f t="shared" si="2"/>
        <v>3</v>
      </c>
      <c r="E102">
        <f t="shared" si="4"/>
        <v>5</v>
      </c>
    </row>
    <row r="103" spans="1:5" x14ac:dyDescent="0.25">
      <c r="A103">
        <v>5.0999999999999996</v>
      </c>
      <c r="B103">
        <v>1.9</v>
      </c>
      <c r="C103" t="s">
        <v>8</v>
      </c>
      <c r="D103">
        <f t="shared" si="2"/>
        <v>3</v>
      </c>
      <c r="E103">
        <f t="shared" si="4"/>
        <v>5</v>
      </c>
    </row>
    <row r="104" spans="1:5" x14ac:dyDescent="0.25">
      <c r="A104">
        <v>5.9</v>
      </c>
      <c r="B104">
        <v>2.1</v>
      </c>
      <c r="C104" t="s">
        <v>8</v>
      </c>
      <c r="D104">
        <f t="shared" si="2"/>
        <v>3</v>
      </c>
      <c r="E104">
        <f t="shared" si="4"/>
        <v>5</v>
      </c>
    </row>
    <row r="105" spans="1:5" x14ac:dyDescent="0.25">
      <c r="A105">
        <v>5.6</v>
      </c>
      <c r="B105">
        <v>1.8</v>
      </c>
      <c r="C105" t="s">
        <v>8</v>
      </c>
      <c r="D105">
        <f t="shared" si="2"/>
        <v>3</v>
      </c>
      <c r="E105">
        <f t="shared" si="4"/>
        <v>5</v>
      </c>
    </row>
    <row r="106" spans="1:5" x14ac:dyDescent="0.25">
      <c r="A106">
        <v>5.8</v>
      </c>
      <c r="B106">
        <v>2.2000000000000002</v>
      </c>
      <c r="C106" t="s">
        <v>8</v>
      </c>
      <c r="D106">
        <f t="shared" si="2"/>
        <v>3</v>
      </c>
      <c r="E106">
        <f t="shared" si="4"/>
        <v>5</v>
      </c>
    </row>
    <row r="107" spans="1:5" x14ac:dyDescent="0.25">
      <c r="A107">
        <v>6.6</v>
      </c>
      <c r="B107">
        <v>2.1</v>
      </c>
      <c r="C107" t="s">
        <v>8</v>
      </c>
      <c r="D107">
        <f t="shared" si="2"/>
        <v>3</v>
      </c>
      <c r="E107">
        <f t="shared" si="4"/>
        <v>5</v>
      </c>
    </row>
    <row r="108" spans="1:5" x14ac:dyDescent="0.25">
      <c r="A108">
        <v>4.5</v>
      </c>
      <c r="B108">
        <v>1.7</v>
      </c>
      <c r="C108" t="s">
        <v>8</v>
      </c>
      <c r="D108">
        <f t="shared" si="2"/>
        <v>3</v>
      </c>
      <c r="E108">
        <f t="shared" si="4"/>
        <v>5</v>
      </c>
    </row>
    <row r="109" spans="1:5" x14ac:dyDescent="0.25">
      <c r="A109">
        <v>6.3</v>
      </c>
      <c r="B109">
        <v>1.8</v>
      </c>
      <c r="C109" t="s">
        <v>8</v>
      </c>
      <c r="D109">
        <f t="shared" si="2"/>
        <v>3</v>
      </c>
      <c r="E109">
        <f t="shared" si="4"/>
        <v>5</v>
      </c>
    </row>
    <row r="110" spans="1:5" x14ac:dyDescent="0.25">
      <c r="A110">
        <v>5.8</v>
      </c>
      <c r="B110">
        <v>1.8</v>
      </c>
      <c r="C110" t="s">
        <v>8</v>
      </c>
      <c r="D110">
        <f t="shared" si="2"/>
        <v>3</v>
      </c>
      <c r="E110">
        <f t="shared" si="4"/>
        <v>5</v>
      </c>
    </row>
    <row r="111" spans="1:5" x14ac:dyDescent="0.25">
      <c r="A111">
        <v>6.1</v>
      </c>
      <c r="B111">
        <v>2.5</v>
      </c>
      <c r="C111" t="s">
        <v>8</v>
      </c>
      <c r="D111">
        <f t="shared" si="2"/>
        <v>3</v>
      </c>
      <c r="E111">
        <f t="shared" si="4"/>
        <v>5</v>
      </c>
    </row>
    <row r="112" spans="1:5" x14ac:dyDescent="0.25">
      <c r="A112">
        <v>5.0999999999999996</v>
      </c>
      <c r="B112">
        <v>2</v>
      </c>
      <c r="C112" t="s">
        <v>8</v>
      </c>
      <c r="D112">
        <f t="shared" si="2"/>
        <v>3</v>
      </c>
      <c r="E112">
        <f t="shared" si="4"/>
        <v>5</v>
      </c>
    </row>
    <row r="113" spans="1:5" x14ac:dyDescent="0.25">
      <c r="A113">
        <v>5.3</v>
      </c>
      <c r="B113">
        <v>1.9</v>
      </c>
      <c r="C113" t="s">
        <v>8</v>
      </c>
      <c r="D113">
        <f t="shared" si="2"/>
        <v>3</v>
      </c>
      <c r="E113">
        <f>IF(C113="Iris-setosa",3,IF(C113="Iris-versicolor",4,5))</f>
        <v>5</v>
      </c>
    </row>
    <row r="114" spans="1:5" x14ac:dyDescent="0.25">
      <c r="A114">
        <v>5.5</v>
      </c>
      <c r="B114">
        <v>2.1</v>
      </c>
      <c r="C114" t="s">
        <v>8</v>
      </c>
      <c r="D114">
        <f t="shared" si="2"/>
        <v>3</v>
      </c>
      <c r="E114">
        <f t="shared" ref="E114:E151" si="5">IF(C114="Iris-setosa",3,IF(C114="Iris-versicolor",4,5))</f>
        <v>5</v>
      </c>
    </row>
    <row r="115" spans="1:5" x14ac:dyDescent="0.25">
      <c r="A115">
        <v>5</v>
      </c>
      <c r="B115">
        <v>2</v>
      </c>
      <c r="C115" t="s">
        <v>8</v>
      </c>
      <c r="D115">
        <f t="shared" si="2"/>
        <v>3</v>
      </c>
      <c r="E115">
        <f t="shared" si="5"/>
        <v>5</v>
      </c>
    </row>
    <row r="116" spans="1:5" x14ac:dyDescent="0.25">
      <c r="A116">
        <v>5.0999999999999996</v>
      </c>
      <c r="B116">
        <v>2.4</v>
      </c>
      <c r="C116" t="s">
        <v>8</v>
      </c>
      <c r="D116">
        <f t="shared" si="2"/>
        <v>3</v>
      </c>
      <c r="E116">
        <f t="shared" si="5"/>
        <v>5</v>
      </c>
    </row>
    <row r="117" spans="1:5" x14ac:dyDescent="0.25">
      <c r="A117">
        <v>5.3</v>
      </c>
      <c r="B117">
        <v>2.2999999999999998</v>
      </c>
      <c r="C117" t="s">
        <v>8</v>
      </c>
      <c r="D117">
        <f t="shared" si="2"/>
        <v>3</v>
      </c>
      <c r="E117">
        <f t="shared" si="5"/>
        <v>5</v>
      </c>
    </row>
    <row r="118" spans="1:5" x14ac:dyDescent="0.25">
      <c r="A118">
        <v>5.5</v>
      </c>
      <c r="B118">
        <v>1.8</v>
      </c>
      <c r="C118" t="s">
        <v>8</v>
      </c>
      <c r="D118">
        <f t="shared" si="2"/>
        <v>3</v>
      </c>
      <c r="E118">
        <f t="shared" si="5"/>
        <v>5</v>
      </c>
    </row>
    <row r="119" spans="1:5" x14ac:dyDescent="0.25">
      <c r="A119">
        <v>6.7</v>
      </c>
      <c r="B119">
        <v>2.2000000000000002</v>
      </c>
      <c r="C119" t="s">
        <v>8</v>
      </c>
      <c r="D119">
        <f t="shared" si="2"/>
        <v>3</v>
      </c>
      <c r="E119">
        <f t="shared" si="5"/>
        <v>5</v>
      </c>
    </row>
    <row r="120" spans="1:5" x14ac:dyDescent="0.25">
      <c r="A120">
        <v>6.9</v>
      </c>
      <c r="B120">
        <v>2.2999999999999998</v>
      </c>
      <c r="C120" t="s">
        <v>8</v>
      </c>
      <c r="D120">
        <f t="shared" si="2"/>
        <v>3</v>
      </c>
      <c r="E120">
        <f t="shared" si="5"/>
        <v>5</v>
      </c>
    </row>
    <row r="121" spans="1:5" x14ac:dyDescent="0.25">
      <c r="A121">
        <v>5</v>
      </c>
      <c r="B121">
        <v>1.5</v>
      </c>
      <c r="C121" t="s">
        <v>8</v>
      </c>
      <c r="D121">
        <f t="shared" si="2"/>
        <v>3</v>
      </c>
      <c r="E121">
        <f t="shared" si="5"/>
        <v>5</v>
      </c>
    </row>
    <row r="122" spans="1:5" x14ac:dyDescent="0.25">
      <c r="A122">
        <v>5.7</v>
      </c>
      <c r="B122">
        <v>2.2999999999999998</v>
      </c>
      <c r="C122" t="s">
        <v>8</v>
      </c>
      <c r="D122">
        <f t="shared" si="2"/>
        <v>3</v>
      </c>
      <c r="E122">
        <f t="shared" si="5"/>
        <v>5</v>
      </c>
    </row>
    <row r="123" spans="1:5" x14ac:dyDescent="0.25">
      <c r="A123">
        <v>4.9000000000000004</v>
      </c>
      <c r="B123">
        <v>2</v>
      </c>
      <c r="C123" t="s">
        <v>8</v>
      </c>
      <c r="D123">
        <f t="shared" si="2"/>
        <v>3</v>
      </c>
      <c r="E123">
        <f t="shared" si="5"/>
        <v>5</v>
      </c>
    </row>
    <row r="124" spans="1:5" x14ac:dyDescent="0.25">
      <c r="A124">
        <v>6.7</v>
      </c>
      <c r="B124">
        <v>2</v>
      </c>
      <c r="C124" t="s">
        <v>8</v>
      </c>
      <c r="D124">
        <f t="shared" si="2"/>
        <v>3</v>
      </c>
      <c r="E124">
        <f t="shared" si="5"/>
        <v>5</v>
      </c>
    </row>
    <row r="125" spans="1:5" x14ac:dyDescent="0.25">
      <c r="A125">
        <v>4.9000000000000004</v>
      </c>
      <c r="B125">
        <v>1.8</v>
      </c>
      <c r="C125" t="s">
        <v>8</v>
      </c>
      <c r="D125">
        <f t="shared" si="2"/>
        <v>3</v>
      </c>
      <c r="E125">
        <f t="shared" si="5"/>
        <v>5</v>
      </c>
    </row>
    <row r="126" spans="1:5" x14ac:dyDescent="0.25">
      <c r="A126">
        <v>5.7</v>
      </c>
      <c r="B126">
        <v>2.1</v>
      </c>
      <c r="C126" t="s">
        <v>8</v>
      </c>
      <c r="D126">
        <f t="shared" si="2"/>
        <v>3</v>
      </c>
      <c r="E126">
        <f t="shared" si="5"/>
        <v>5</v>
      </c>
    </row>
    <row r="127" spans="1:5" x14ac:dyDescent="0.25">
      <c r="A127">
        <v>6</v>
      </c>
      <c r="B127">
        <v>1.8</v>
      </c>
      <c r="C127" t="s">
        <v>8</v>
      </c>
      <c r="D127">
        <f t="shared" si="2"/>
        <v>3</v>
      </c>
      <c r="E127">
        <f t="shared" si="5"/>
        <v>5</v>
      </c>
    </row>
    <row r="128" spans="1:5" x14ac:dyDescent="0.25">
      <c r="A128">
        <v>4.8</v>
      </c>
      <c r="B128">
        <v>1.8</v>
      </c>
      <c r="C128" t="s">
        <v>8</v>
      </c>
      <c r="D128">
        <f t="shared" si="2"/>
        <v>3</v>
      </c>
      <c r="E128">
        <f t="shared" si="5"/>
        <v>5</v>
      </c>
    </row>
    <row r="129" spans="1:5" x14ac:dyDescent="0.25">
      <c r="A129">
        <v>4.9000000000000004</v>
      </c>
      <c r="B129">
        <v>1.8</v>
      </c>
      <c r="C129" t="s">
        <v>8</v>
      </c>
      <c r="D129">
        <f t="shared" si="2"/>
        <v>3</v>
      </c>
      <c r="E129">
        <f t="shared" si="5"/>
        <v>5</v>
      </c>
    </row>
    <row r="130" spans="1:5" x14ac:dyDescent="0.25">
      <c r="A130">
        <v>5.6</v>
      </c>
      <c r="B130">
        <v>2.1</v>
      </c>
      <c r="C130" t="s">
        <v>8</v>
      </c>
      <c r="D130">
        <f t="shared" si="2"/>
        <v>3</v>
      </c>
      <c r="E130">
        <f t="shared" si="5"/>
        <v>5</v>
      </c>
    </row>
    <row r="131" spans="1:5" x14ac:dyDescent="0.25">
      <c r="A131">
        <v>5.8</v>
      </c>
      <c r="B131">
        <v>1.6</v>
      </c>
      <c r="C131" t="s">
        <v>8</v>
      </c>
      <c r="D131">
        <f t="shared" ref="D131:D150" si="6">IF(C131="Iris-setosa",1,IF(C131="Iris-versicolor",2,3))</f>
        <v>3</v>
      </c>
      <c r="E131">
        <f t="shared" si="5"/>
        <v>5</v>
      </c>
    </row>
    <row r="132" spans="1:5" x14ac:dyDescent="0.25">
      <c r="A132">
        <v>6.1</v>
      </c>
      <c r="B132">
        <v>1.9</v>
      </c>
      <c r="C132" t="s">
        <v>8</v>
      </c>
      <c r="D132">
        <f t="shared" si="6"/>
        <v>3</v>
      </c>
      <c r="E132">
        <f t="shared" si="5"/>
        <v>5</v>
      </c>
    </row>
    <row r="133" spans="1:5" x14ac:dyDescent="0.25">
      <c r="A133">
        <v>6.4</v>
      </c>
      <c r="B133">
        <v>2</v>
      </c>
      <c r="C133" t="s">
        <v>8</v>
      </c>
      <c r="D133">
        <f t="shared" si="6"/>
        <v>3</v>
      </c>
      <c r="E133">
        <f t="shared" si="5"/>
        <v>5</v>
      </c>
    </row>
    <row r="134" spans="1:5" x14ac:dyDescent="0.25">
      <c r="A134">
        <v>5.6</v>
      </c>
      <c r="B134">
        <v>2.2000000000000002</v>
      </c>
      <c r="C134" t="s">
        <v>8</v>
      </c>
      <c r="D134">
        <f t="shared" si="6"/>
        <v>3</v>
      </c>
      <c r="E134">
        <f t="shared" si="5"/>
        <v>5</v>
      </c>
    </row>
    <row r="135" spans="1:5" x14ac:dyDescent="0.25">
      <c r="A135">
        <v>5.0999999999999996</v>
      </c>
      <c r="B135">
        <v>1.5</v>
      </c>
      <c r="C135" t="s">
        <v>8</v>
      </c>
      <c r="D135">
        <f t="shared" si="6"/>
        <v>3</v>
      </c>
      <c r="E135">
        <f t="shared" si="5"/>
        <v>5</v>
      </c>
    </row>
    <row r="136" spans="1:5" x14ac:dyDescent="0.25">
      <c r="A136">
        <v>5.6</v>
      </c>
      <c r="B136">
        <v>1.4</v>
      </c>
      <c r="C136" t="s">
        <v>8</v>
      </c>
      <c r="D136">
        <f t="shared" si="6"/>
        <v>3</v>
      </c>
      <c r="E136">
        <f t="shared" si="5"/>
        <v>5</v>
      </c>
    </row>
    <row r="137" spans="1:5" x14ac:dyDescent="0.25">
      <c r="A137">
        <v>6.1</v>
      </c>
      <c r="B137">
        <v>2.2999999999999998</v>
      </c>
      <c r="C137" t="s">
        <v>8</v>
      </c>
      <c r="D137">
        <f t="shared" si="6"/>
        <v>3</v>
      </c>
      <c r="E137">
        <f t="shared" si="5"/>
        <v>5</v>
      </c>
    </row>
    <row r="138" spans="1:5" x14ac:dyDescent="0.25">
      <c r="A138">
        <v>5.6</v>
      </c>
      <c r="B138">
        <v>2.4</v>
      </c>
      <c r="C138" t="s">
        <v>8</v>
      </c>
      <c r="D138">
        <f t="shared" si="6"/>
        <v>3</v>
      </c>
      <c r="E138">
        <f t="shared" si="5"/>
        <v>5</v>
      </c>
    </row>
    <row r="139" spans="1:5" x14ac:dyDescent="0.25">
      <c r="A139">
        <v>5.5</v>
      </c>
      <c r="B139">
        <v>1.8</v>
      </c>
      <c r="C139" t="s">
        <v>8</v>
      </c>
      <c r="D139">
        <f t="shared" si="6"/>
        <v>3</v>
      </c>
      <c r="E139">
        <f t="shared" si="5"/>
        <v>5</v>
      </c>
    </row>
    <row r="140" spans="1:5" x14ac:dyDescent="0.25">
      <c r="A140">
        <v>4.8</v>
      </c>
      <c r="B140">
        <v>1.8</v>
      </c>
      <c r="C140" t="s">
        <v>8</v>
      </c>
      <c r="D140">
        <f t="shared" si="6"/>
        <v>3</v>
      </c>
      <c r="E140">
        <f t="shared" si="5"/>
        <v>5</v>
      </c>
    </row>
    <row r="141" spans="1:5" x14ac:dyDescent="0.25">
      <c r="A141">
        <v>5.4</v>
      </c>
      <c r="B141">
        <v>2.1</v>
      </c>
      <c r="C141" t="s">
        <v>8</v>
      </c>
      <c r="D141">
        <f t="shared" si="6"/>
        <v>3</v>
      </c>
      <c r="E141">
        <f t="shared" si="5"/>
        <v>5</v>
      </c>
    </row>
    <row r="142" spans="1:5" x14ac:dyDescent="0.25">
      <c r="A142">
        <v>5.6</v>
      </c>
      <c r="B142">
        <v>2.4</v>
      </c>
      <c r="C142" t="s">
        <v>8</v>
      </c>
      <c r="D142">
        <f t="shared" si="6"/>
        <v>3</v>
      </c>
      <c r="E142">
        <f t="shared" si="5"/>
        <v>5</v>
      </c>
    </row>
    <row r="143" spans="1:5" x14ac:dyDescent="0.25">
      <c r="A143">
        <v>5.0999999999999996</v>
      </c>
      <c r="B143">
        <v>2.2999999999999998</v>
      </c>
      <c r="C143" t="s">
        <v>8</v>
      </c>
      <c r="D143">
        <f t="shared" si="6"/>
        <v>3</v>
      </c>
      <c r="E143">
        <f t="shared" si="5"/>
        <v>5</v>
      </c>
    </row>
    <row r="144" spans="1:5" x14ac:dyDescent="0.25">
      <c r="A144">
        <v>5.0999999999999996</v>
      </c>
      <c r="B144">
        <v>1.9</v>
      </c>
      <c r="C144" t="s">
        <v>8</v>
      </c>
      <c r="D144">
        <f t="shared" si="6"/>
        <v>3</v>
      </c>
      <c r="E144">
        <f t="shared" si="5"/>
        <v>5</v>
      </c>
    </row>
    <row r="145" spans="1:5" x14ac:dyDescent="0.25">
      <c r="A145">
        <v>5.9</v>
      </c>
      <c r="B145">
        <v>2.2999999999999998</v>
      </c>
      <c r="C145" t="s">
        <v>8</v>
      </c>
      <c r="D145">
        <f t="shared" si="6"/>
        <v>3</v>
      </c>
      <c r="E145">
        <f t="shared" si="5"/>
        <v>5</v>
      </c>
    </row>
    <row r="146" spans="1:5" x14ac:dyDescent="0.25">
      <c r="A146">
        <v>5.7</v>
      </c>
      <c r="B146">
        <v>2.5</v>
      </c>
      <c r="C146" t="s">
        <v>8</v>
      </c>
      <c r="D146">
        <f t="shared" si="6"/>
        <v>3</v>
      </c>
      <c r="E146">
        <f t="shared" si="5"/>
        <v>5</v>
      </c>
    </row>
    <row r="147" spans="1:5" x14ac:dyDescent="0.25">
      <c r="A147">
        <v>5.2</v>
      </c>
      <c r="B147">
        <v>2.2999999999999998</v>
      </c>
      <c r="C147" t="s">
        <v>8</v>
      </c>
      <c r="D147">
        <f t="shared" si="6"/>
        <v>3</v>
      </c>
      <c r="E147">
        <f t="shared" si="5"/>
        <v>5</v>
      </c>
    </row>
    <row r="148" spans="1:5" x14ac:dyDescent="0.25">
      <c r="A148">
        <v>5</v>
      </c>
      <c r="B148">
        <v>1.9</v>
      </c>
      <c r="C148" t="s">
        <v>8</v>
      </c>
      <c r="D148">
        <f t="shared" si="6"/>
        <v>3</v>
      </c>
      <c r="E148">
        <f t="shared" si="5"/>
        <v>5</v>
      </c>
    </row>
    <row r="149" spans="1:5" x14ac:dyDescent="0.25">
      <c r="A149">
        <v>5.2</v>
      </c>
      <c r="B149">
        <v>2</v>
      </c>
      <c r="C149" t="s">
        <v>8</v>
      </c>
      <c r="D149">
        <f t="shared" si="6"/>
        <v>3</v>
      </c>
      <c r="E149">
        <f t="shared" si="5"/>
        <v>5</v>
      </c>
    </row>
    <row r="150" spans="1:5" x14ac:dyDescent="0.25">
      <c r="A150">
        <v>5.4</v>
      </c>
      <c r="B150">
        <v>2.2999999999999998</v>
      </c>
      <c r="C150" t="s">
        <v>8</v>
      </c>
      <c r="D150">
        <f t="shared" si="6"/>
        <v>3</v>
      </c>
      <c r="E150">
        <f t="shared" si="5"/>
        <v>5</v>
      </c>
    </row>
    <row r="151" spans="1:5" x14ac:dyDescent="0.25">
      <c r="A151">
        <v>5.0999999999999996</v>
      </c>
      <c r="B151">
        <v>1.8</v>
      </c>
      <c r="C151" t="s">
        <v>8</v>
      </c>
      <c r="D151">
        <f>IF(C151="Iris-setosa",1,IF(C151="Iris-versicolor",2,3))</f>
        <v>3</v>
      </c>
      <c r="E151">
        <f t="shared" si="5"/>
        <v>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51"/>
  <sheetViews>
    <sheetView workbookViewId="0">
      <selection activeCell="P20" sqref="P20"/>
    </sheetView>
  </sheetViews>
  <sheetFormatPr defaultRowHeight="15" x14ac:dyDescent="0.25"/>
  <sheetData>
    <row r="1" spans="1:5" x14ac:dyDescent="0.25">
      <c r="A1" t="s">
        <v>1</v>
      </c>
      <c r="B1" t="s">
        <v>2</v>
      </c>
      <c r="C1" t="s">
        <v>5</v>
      </c>
      <c r="D1" t="s">
        <v>9</v>
      </c>
      <c r="E1" t="s">
        <v>10</v>
      </c>
    </row>
    <row r="2" spans="1:5" x14ac:dyDescent="0.25">
      <c r="A2">
        <v>5.0999999999999996</v>
      </c>
      <c r="B2">
        <v>3.5</v>
      </c>
      <c r="C2" t="s">
        <v>6</v>
      </c>
      <c r="D2">
        <f>IF(C2="Iris-setosa",1,IF(C2="Iris-versicolor",2,3))</f>
        <v>1</v>
      </c>
      <c r="E2">
        <f>IF(C2="Iris-setosa",3,IF(C2="Iris-versicolor",4,5))</f>
        <v>3</v>
      </c>
    </row>
    <row r="3" spans="1:5" x14ac:dyDescent="0.25">
      <c r="A3">
        <v>4.9000000000000004</v>
      </c>
      <c r="B3">
        <v>3</v>
      </c>
      <c r="C3" t="s">
        <v>6</v>
      </c>
      <c r="D3">
        <f t="shared" ref="D3:D66" si="0">IF(C3="Iris-setosa",1,IF(C3="Iris-versicolor",2,3))</f>
        <v>1</v>
      </c>
      <c r="E3">
        <f t="shared" ref="E3:E66" si="1">IF(C3="Iris-setosa",3,IF(C3="Iris-versicolor",4,5))</f>
        <v>3</v>
      </c>
    </row>
    <row r="4" spans="1:5" x14ac:dyDescent="0.25">
      <c r="A4">
        <v>4.7</v>
      </c>
      <c r="B4">
        <v>3.2</v>
      </c>
      <c r="C4" t="s">
        <v>6</v>
      </c>
      <c r="D4">
        <f t="shared" si="0"/>
        <v>1</v>
      </c>
      <c r="E4">
        <f t="shared" si="1"/>
        <v>3</v>
      </c>
    </row>
    <row r="5" spans="1:5" x14ac:dyDescent="0.25">
      <c r="A5">
        <v>4.5999999999999996</v>
      </c>
      <c r="B5">
        <v>3.1</v>
      </c>
      <c r="C5" t="s">
        <v>6</v>
      </c>
      <c r="D5">
        <f t="shared" si="0"/>
        <v>1</v>
      </c>
      <c r="E5">
        <f t="shared" si="1"/>
        <v>3</v>
      </c>
    </row>
    <row r="6" spans="1:5" x14ac:dyDescent="0.25">
      <c r="A6">
        <v>5</v>
      </c>
      <c r="B6">
        <v>3.6</v>
      </c>
      <c r="C6" t="s">
        <v>6</v>
      </c>
      <c r="D6">
        <f t="shared" si="0"/>
        <v>1</v>
      </c>
      <c r="E6">
        <f t="shared" si="1"/>
        <v>3</v>
      </c>
    </row>
    <row r="7" spans="1:5" x14ac:dyDescent="0.25">
      <c r="A7">
        <v>5.4</v>
      </c>
      <c r="B7">
        <v>3.9</v>
      </c>
      <c r="C7" t="s">
        <v>6</v>
      </c>
      <c r="D7">
        <f t="shared" si="0"/>
        <v>1</v>
      </c>
      <c r="E7">
        <f t="shared" si="1"/>
        <v>3</v>
      </c>
    </row>
    <row r="8" spans="1:5" x14ac:dyDescent="0.25">
      <c r="A8">
        <v>4.5999999999999996</v>
      </c>
      <c r="B8">
        <v>3.4</v>
      </c>
      <c r="C8" t="s">
        <v>6</v>
      </c>
      <c r="D8">
        <f t="shared" si="0"/>
        <v>1</v>
      </c>
      <c r="E8">
        <f t="shared" si="1"/>
        <v>3</v>
      </c>
    </row>
    <row r="9" spans="1:5" x14ac:dyDescent="0.25">
      <c r="A9">
        <v>5</v>
      </c>
      <c r="B9">
        <v>3.4</v>
      </c>
      <c r="C9" t="s">
        <v>6</v>
      </c>
      <c r="D9">
        <f t="shared" si="0"/>
        <v>1</v>
      </c>
      <c r="E9">
        <f t="shared" si="1"/>
        <v>3</v>
      </c>
    </row>
    <row r="10" spans="1:5" x14ac:dyDescent="0.25">
      <c r="A10">
        <v>4.4000000000000004</v>
      </c>
      <c r="B10">
        <v>2.9</v>
      </c>
      <c r="C10" t="s">
        <v>6</v>
      </c>
      <c r="D10">
        <f t="shared" si="0"/>
        <v>1</v>
      </c>
      <c r="E10">
        <f t="shared" si="1"/>
        <v>3</v>
      </c>
    </row>
    <row r="11" spans="1:5" x14ac:dyDescent="0.25">
      <c r="A11">
        <v>4.9000000000000004</v>
      </c>
      <c r="B11">
        <v>3.1</v>
      </c>
      <c r="C11" t="s">
        <v>6</v>
      </c>
      <c r="D11">
        <f t="shared" si="0"/>
        <v>1</v>
      </c>
      <c r="E11">
        <f t="shared" si="1"/>
        <v>3</v>
      </c>
    </row>
    <row r="12" spans="1:5" x14ac:dyDescent="0.25">
      <c r="A12">
        <v>5.4</v>
      </c>
      <c r="B12">
        <v>3.7</v>
      </c>
      <c r="C12" t="s">
        <v>6</v>
      </c>
      <c r="D12">
        <f t="shared" si="0"/>
        <v>1</v>
      </c>
      <c r="E12">
        <f t="shared" si="1"/>
        <v>3</v>
      </c>
    </row>
    <row r="13" spans="1:5" x14ac:dyDescent="0.25">
      <c r="A13">
        <v>4.8</v>
      </c>
      <c r="B13">
        <v>3.4</v>
      </c>
      <c r="C13" t="s">
        <v>6</v>
      </c>
      <c r="D13">
        <f t="shared" si="0"/>
        <v>1</v>
      </c>
      <c r="E13">
        <f t="shared" si="1"/>
        <v>3</v>
      </c>
    </row>
    <row r="14" spans="1:5" x14ac:dyDescent="0.25">
      <c r="A14">
        <v>4.8</v>
      </c>
      <c r="B14">
        <v>3</v>
      </c>
      <c r="C14" t="s">
        <v>6</v>
      </c>
      <c r="D14">
        <f t="shared" si="0"/>
        <v>1</v>
      </c>
      <c r="E14">
        <f t="shared" si="1"/>
        <v>3</v>
      </c>
    </row>
    <row r="15" spans="1:5" x14ac:dyDescent="0.25">
      <c r="A15">
        <v>4.3</v>
      </c>
      <c r="B15">
        <v>3</v>
      </c>
      <c r="C15" t="s">
        <v>6</v>
      </c>
      <c r="D15">
        <f t="shared" si="0"/>
        <v>1</v>
      </c>
      <c r="E15">
        <f t="shared" si="1"/>
        <v>3</v>
      </c>
    </row>
    <row r="16" spans="1:5" x14ac:dyDescent="0.25">
      <c r="A16">
        <v>5.8</v>
      </c>
      <c r="B16">
        <v>4</v>
      </c>
      <c r="C16" t="s">
        <v>6</v>
      </c>
      <c r="D16">
        <f t="shared" si="0"/>
        <v>1</v>
      </c>
      <c r="E16">
        <f t="shared" si="1"/>
        <v>3</v>
      </c>
    </row>
    <row r="17" spans="1:5" x14ac:dyDescent="0.25">
      <c r="A17">
        <v>5.7</v>
      </c>
      <c r="B17">
        <v>4.4000000000000004</v>
      </c>
      <c r="C17" t="s">
        <v>6</v>
      </c>
      <c r="D17">
        <f t="shared" si="0"/>
        <v>1</v>
      </c>
      <c r="E17">
        <f t="shared" si="1"/>
        <v>3</v>
      </c>
    </row>
    <row r="18" spans="1:5" x14ac:dyDescent="0.25">
      <c r="A18">
        <v>5.4</v>
      </c>
      <c r="B18">
        <v>3.9</v>
      </c>
      <c r="C18" t="s">
        <v>6</v>
      </c>
      <c r="D18">
        <f t="shared" si="0"/>
        <v>1</v>
      </c>
      <c r="E18">
        <f t="shared" si="1"/>
        <v>3</v>
      </c>
    </row>
    <row r="19" spans="1:5" x14ac:dyDescent="0.25">
      <c r="A19">
        <v>5.0999999999999996</v>
      </c>
      <c r="B19">
        <v>3.5</v>
      </c>
      <c r="C19" t="s">
        <v>6</v>
      </c>
      <c r="D19">
        <f t="shared" si="0"/>
        <v>1</v>
      </c>
      <c r="E19">
        <f t="shared" si="1"/>
        <v>3</v>
      </c>
    </row>
    <row r="20" spans="1:5" x14ac:dyDescent="0.25">
      <c r="A20">
        <v>5.7</v>
      </c>
      <c r="B20">
        <v>3.8</v>
      </c>
      <c r="C20" t="s">
        <v>6</v>
      </c>
      <c r="D20">
        <f t="shared" si="0"/>
        <v>1</v>
      </c>
      <c r="E20">
        <f t="shared" si="1"/>
        <v>3</v>
      </c>
    </row>
    <row r="21" spans="1:5" x14ac:dyDescent="0.25">
      <c r="A21">
        <v>5.0999999999999996</v>
      </c>
      <c r="B21">
        <v>3.8</v>
      </c>
      <c r="C21" t="s">
        <v>6</v>
      </c>
      <c r="D21">
        <f t="shared" si="0"/>
        <v>1</v>
      </c>
      <c r="E21">
        <f t="shared" si="1"/>
        <v>3</v>
      </c>
    </row>
    <row r="22" spans="1:5" x14ac:dyDescent="0.25">
      <c r="A22">
        <v>5.4</v>
      </c>
      <c r="B22">
        <v>3.4</v>
      </c>
      <c r="C22" t="s">
        <v>6</v>
      </c>
      <c r="D22">
        <f t="shared" si="0"/>
        <v>1</v>
      </c>
      <c r="E22">
        <f t="shared" si="1"/>
        <v>3</v>
      </c>
    </row>
    <row r="23" spans="1:5" x14ac:dyDescent="0.25">
      <c r="A23">
        <v>5.0999999999999996</v>
      </c>
      <c r="B23">
        <v>3.7</v>
      </c>
      <c r="C23" t="s">
        <v>6</v>
      </c>
      <c r="D23">
        <f t="shared" si="0"/>
        <v>1</v>
      </c>
      <c r="E23">
        <f t="shared" si="1"/>
        <v>3</v>
      </c>
    </row>
    <row r="24" spans="1:5" x14ac:dyDescent="0.25">
      <c r="A24">
        <v>4.5999999999999996</v>
      </c>
      <c r="B24">
        <v>3.6</v>
      </c>
      <c r="C24" t="s">
        <v>6</v>
      </c>
      <c r="D24">
        <f t="shared" si="0"/>
        <v>1</v>
      </c>
      <c r="E24">
        <f t="shared" si="1"/>
        <v>3</v>
      </c>
    </row>
    <row r="25" spans="1:5" x14ac:dyDescent="0.25">
      <c r="A25">
        <v>5.0999999999999996</v>
      </c>
      <c r="B25">
        <v>3.3</v>
      </c>
      <c r="C25" t="s">
        <v>6</v>
      </c>
      <c r="D25">
        <f t="shared" si="0"/>
        <v>1</v>
      </c>
      <c r="E25">
        <f t="shared" si="1"/>
        <v>3</v>
      </c>
    </row>
    <row r="26" spans="1:5" x14ac:dyDescent="0.25">
      <c r="A26">
        <v>4.8</v>
      </c>
      <c r="B26">
        <v>3.4</v>
      </c>
      <c r="C26" t="s">
        <v>6</v>
      </c>
      <c r="D26">
        <f t="shared" si="0"/>
        <v>1</v>
      </c>
      <c r="E26">
        <f t="shared" si="1"/>
        <v>3</v>
      </c>
    </row>
    <row r="27" spans="1:5" x14ac:dyDescent="0.25">
      <c r="A27">
        <v>5</v>
      </c>
      <c r="B27">
        <v>3</v>
      </c>
      <c r="C27" t="s">
        <v>6</v>
      </c>
      <c r="D27">
        <f t="shared" si="0"/>
        <v>1</v>
      </c>
      <c r="E27">
        <f t="shared" si="1"/>
        <v>3</v>
      </c>
    </row>
    <row r="28" spans="1:5" x14ac:dyDescent="0.25">
      <c r="A28">
        <v>5</v>
      </c>
      <c r="B28">
        <v>3.4</v>
      </c>
      <c r="C28" t="s">
        <v>6</v>
      </c>
      <c r="D28">
        <f t="shared" si="0"/>
        <v>1</v>
      </c>
      <c r="E28">
        <f t="shared" si="1"/>
        <v>3</v>
      </c>
    </row>
    <row r="29" spans="1:5" x14ac:dyDescent="0.25">
      <c r="A29">
        <v>5.2</v>
      </c>
      <c r="B29">
        <v>3.5</v>
      </c>
      <c r="C29" t="s">
        <v>6</v>
      </c>
      <c r="D29">
        <f t="shared" si="0"/>
        <v>1</v>
      </c>
      <c r="E29">
        <f t="shared" si="1"/>
        <v>3</v>
      </c>
    </row>
    <row r="30" spans="1:5" x14ac:dyDescent="0.25">
      <c r="A30">
        <v>5.2</v>
      </c>
      <c r="B30">
        <v>3.4</v>
      </c>
      <c r="C30" t="s">
        <v>6</v>
      </c>
      <c r="D30">
        <f t="shared" si="0"/>
        <v>1</v>
      </c>
      <c r="E30">
        <f t="shared" si="1"/>
        <v>3</v>
      </c>
    </row>
    <row r="31" spans="1:5" x14ac:dyDescent="0.25">
      <c r="A31">
        <v>4.7</v>
      </c>
      <c r="B31">
        <v>3.2</v>
      </c>
      <c r="C31" t="s">
        <v>6</v>
      </c>
      <c r="D31">
        <f t="shared" si="0"/>
        <v>1</v>
      </c>
      <c r="E31">
        <f t="shared" si="1"/>
        <v>3</v>
      </c>
    </row>
    <row r="32" spans="1:5" x14ac:dyDescent="0.25">
      <c r="A32">
        <v>4.8</v>
      </c>
      <c r="B32">
        <v>3.1</v>
      </c>
      <c r="C32" t="s">
        <v>6</v>
      </c>
      <c r="D32">
        <f t="shared" si="0"/>
        <v>1</v>
      </c>
      <c r="E32">
        <f t="shared" si="1"/>
        <v>3</v>
      </c>
    </row>
    <row r="33" spans="1:5" x14ac:dyDescent="0.25">
      <c r="A33">
        <v>5.4</v>
      </c>
      <c r="B33">
        <v>3.4</v>
      </c>
      <c r="C33" t="s">
        <v>6</v>
      </c>
      <c r="D33">
        <f t="shared" si="0"/>
        <v>1</v>
      </c>
      <c r="E33">
        <f t="shared" si="1"/>
        <v>3</v>
      </c>
    </row>
    <row r="34" spans="1:5" x14ac:dyDescent="0.25">
      <c r="A34">
        <v>5.2</v>
      </c>
      <c r="B34">
        <v>4.0999999999999996</v>
      </c>
      <c r="C34" t="s">
        <v>6</v>
      </c>
      <c r="D34">
        <f t="shared" si="0"/>
        <v>1</v>
      </c>
      <c r="E34">
        <f t="shared" si="1"/>
        <v>3</v>
      </c>
    </row>
    <row r="35" spans="1:5" x14ac:dyDescent="0.25">
      <c r="A35">
        <v>5.5</v>
      </c>
      <c r="B35">
        <v>4.2</v>
      </c>
      <c r="C35" t="s">
        <v>6</v>
      </c>
      <c r="D35">
        <f t="shared" si="0"/>
        <v>1</v>
      </c>
      <c r="E35">
        <f t="shared" si="1"/>
        <v>3</v>
      </c>
    </row>
    <row r="36" spans="1:5" x14ac:dyDescent="0.25">
      <c r="A36">
        <v>4.9000000000000004</v>
      </c>
      <c r="B36">
        <v>3.1</v>
      </c>
      <c r="C36" t="s">
        <v>6</v>
      </c>
      <c r="D36">
        <f t="shared" si="0"/>
        <v>1</v>
      </c>
      <c r="E36">
        <f t="shared" si="1"/>
        <v>3</v>
      </c>
    </row>
    <row r="37" spans="1:5" x14ac:dyDescent="0.25">
      <c r="A37">
        <v>5</v>
      </c>
      <c r="B37">
        <v>3.2</v>
      </c>
      <c r="C37" t="s">
        <v>6</v>
      </c>
      <c r="D37">
        <f t="shared" si="0"/>
        <v>1</v>
      </c>
      <c r="E37">
        <f t="shared" si="1"/>
        <v>3</v>
      </c>
    </row>
    <row r="38" spans="1:5" x14ac:dyDescent="0.25">
      <c r="A38">
        <v>5.5</v>
      </c>
      <c r="B38">
        <v>3.5</v>
      </c>
      <c r="C38" t="s">
        <v>6</v>
      </c>
      <c r="D38">
        <f t="shared" si="0"/>
        <v>1</v>
      </c>
      <c r="E38">
        <f t="shared" si="1"/>
        <v>3</v>
      </c>
    </row>
    <row r="39" spans="1:5" x14ac:dyDescent="0.25">
      <c r="A39">
        <v>4.9000000000000004</v>
      </c>
      <c r="B39">
        <v>3.1</v>
      </c>
      <c r="C39" t="s">
        <v>6</v>
      </c>
      <c r="D39">
        <f t="shared" si="0"/>
        <v>1</v>
      </c>
      <c r="E39">
        <f t="shared" si="1"/>
        <v>3</v>
      </c>
    </row>
    <row r="40" spans="1:5" x14ac:dyDescent="0.25">
      <c r="A40">
        <v>4.4000000000000004</v>
      </c>
      <c r="B40">
        <v>3</v>
      </c>
      <c r="C40" t="s">
        <v>6</v>
      </c>
      <c r="D40">
        <f t="shared" si="0"/>
        <v>1</v>
      </c>
      <c r="E40">
        <f t="shared" si="1"/>
        <v>3</v>
      </c>
    </row>
    <row r="41" spans="1:5" x14ac:dyDescent="0.25">
      <c r="A41">
        <v>5.0999999999999996</v>
      </c>
      <c r="B41">
        <v>3.4</v>
      </c>
      <c r="C41" t="s">
        <v>6</v>
      </c>
      <c r="D41">
        <f t="shared" si="0"/>
        <v>1</v>
      </c>
      <c r="E41">
        <f t="shared" si="1"/>
        <v>3</v>
      </c>
    </row>
    <row r="42" spans="1:5" x14ac:dyDescent="0.25">
      <c r="A42">
        <v>5</v>
      </c>
      <c r="B42">
        <v>3.5</v>
      </c>
      <c r="C42" t="s">
        <v>6</v>
      </c>
      <c r="D42">
        <f t="shared" si="0"/>
        <v>1</v>
      </c>
      <c r="E42">
        <f t="shared" si="1"/>
        <v>3</v>
      </c>
    </row>
    <row r="43" spans="1:5" x14ac:dyDescent="0.25">
      <c r="A43">
        <v>4.5</v>
      </c>
      <c r="B43">
        <v>2.2999999999999998</v>
      </c>
      <c r="C43" t="s">
        <v>6</v>
      </c>
      <c r="D43">
        <f t="shared" si="0"/>
        <v>1</v>
      </c>
      <c r="E43">
        <f t="shared" si="1"/>
        <v>3</v>
      </c>
    </row>
    <row r="44" spans="1:5" x14ac:dyDescent="0.25">
      <c r="A44">
        <v>4.4000000000000004</v>
      </c>
      <c r="B44">
        <v>3.2</v>
      </c>
      <c r="C44" t="s">
        <v>6</v>
      </c>
      <c r="D44">
        <f t="shared" si="0"/>
        <v>1</v>
      </c>
      <c r="E44">
        <f t="shared" si="1"/>
        <v>3</v>
      </c>
    </row>
    <row r="45" spans="1:5" x14ac:dyDescent="0.25">
      <c r="A45">
        <v>5</v>
      </c>
      <c r="B45">
        <v>3.5</v>
      </c>
      <c r="C45" t="s">
        <v>6</v>
      </c>
      <c r="D45">
        <f t="shared" si="0"/>
        <v>1</v>
      </c>
      <c r="E45">
        <f t="shared" si="1"/>
        <v>3</v>
      </c>
    </row>
    <row r="46" spans="1:5" x14ac:dyDescent="0.25">
      <c r="A46">
        <v>5.0999999999999996</v>
      </c>
      <c r="B46">
        <v>3.8</v>
      </c>
      <c r="C46" t="s">
        <v>6</v>
      </c>
      <c r="D46">
        <f t="shared" si="0"/>
        <v>1</v>
      </c>
      <c r="E46">
        <f t="shared" si="1"/>
        <v>3</v>
      </c>
    </row>
    <row r="47" spans="1:5" x14ac:dyDescent="0.25">
      <c r="A47">
        <v>4.8</v>
      </c>
      <c r="B47">
        <v>3</v>
      </c>
      <c r="C47" t="s">
        <v>6</v>
      </c>
      <c r="D47">
        <f t="shared" si="0"/>
        <v>1</v>
      </c>
      <c r="E47">
        <f t="shared" si="1"/>
        <v>3</v>
      </c>
    </row>
    <row r="48" spans="1:5" x14ac:dyDescent="0.25">
      <c r="A48">
        <v>5.0999999999999996</v>
      </c>
      <c r="B48">
        <v>3.8</v>
      </c>
      <c r="C48" t="s">
        <v>6</v>
      </c>
      <c r="D48">
        <f t="shared" si="0"/>
        <v>1</v>
      </c>
      <c r="E48">
        <f t="shared" si="1"/>
        <v>3</v>
      </c>
    </row>
    <row r="49" spans="1:5" x14ac:dyDescent="0.25">
      <c r="A49">
        <v>4.5999999999999996</v>
      </c>
      <c r="B49">
        <v>3.2</v>
      </c>
      <c r="C49" t="s">
        <v>6</v>
      </c>
      <c r="D49">
        <f t="shared" si="0"/>
        <v>1</v>
      </c>
      <c r="E49">
        <f t="shared" si="1"/>
        <v>3</v>
      </c>
    </row>
    <row r="50" spans="1:5" x14ac:dyDescent="0.25">
      <c r="A50">
        <v>5.3</v>
      </c>
      <c r="B50">
        <v>3.7</v>
      </c>
      <c r="C50" t="s">
        <v>6</v>
      </c>
      <c r="D50">
        <f t="shared" si="0"/>
        <v>1</v>
      </c>
      <c r="E50">
        <f t="shared" si="1"/>
        <v>3</v>
      </c>
    </row>
    <row r="51" spans="1:5" x14ac:dyDescent="0.25">
      <c r="A51">
        <v>5</v>
      </c>
      <c r="B51">
        <v>3.3</v>
      </c>
      <c r="C51" t="s">
        <v>6</v>
      </c>
      <c r="D51">
        <f t="shared" si="0"/>
        <v>1</v>
      </c>
      <c r="E51">
        <f t="shared" si="1"/>
        <v>3</v>
      </c>
    </row>
    <row r="52" spans="1:5" x14ac:dyDescent="0.25">
      <c r="A52">
        <v>7</v>
      </c>
      <c r="B52">
        <v>3.2</v>
      </c>
      <c r="C52" t="s">
        <v>7</v>
      </c>
      <c r="D52">
        <f t="shared" si="0"/>
        <v>2</v>
      </c>
      <c r="E52">
        <f t="shared" si="1"/>
        <v>4</v>
      </c>
    </row>
    <row r="53" spans="1:5" x14ac:dyDescent="0.25">
      <c r="A53">
        <v>6.4</v>
      </c>
      <c r="B53">
        <v>3.2</v>
      </c>
      <c r="C53" t="s">
        <v>7</v>
      </c>
      <c r="D53">
        <f t="shared" si="0"/>
        <v>2</v>
      </c>
      <c r="E53">
        <f t="shared" si="1"/>
        <v>4</v>
      </c>
    </row>
    <row r="54" spans="1:5" x14ac:dyDescent="0.25">
      <c r="A54">
        <v>6.9</v>
      </c>
      <c r="B54">
        <v>3.1</v>
      </c>
      <c r="C54" t="s">
        <v>7</v>
      </c>
      <c r="D54">
        <f t="shared" si="0"/>
        <v>2</v>
      </c>
      <c r="E54">
        <f t="shared" si="1"/>
        <v>4</v>
      </c>
    </row>
    <row r="55" spans="1:5" x14ac:dyDescent="0.25">
      <c r="A55">
        <v>5.5</v>
      </c>
      <c r="B55">
        <v>2.2999999999999998</v>
      </c>
      <c r="C55" t="s">
        <v>7</v>
      </c>
      <c r="D55">
        <f t="shared" si="0"/>
        <v>2</v>
      </c>
      <c r="E55">
        <f t="shared" si="1"/>
        <v>4</v>
      </c>
    </row>
    <row r="56" spans="1:5" x14ac:dyDescent="0.25">
      <c r="A56">
        <v>6.5</v>
      </c>
      <c r="B56">
        <v>2.8</v>
      </c>
      <c r="C56" t="s">
        <v>7</v>
      </c>
      <c r="D56">
        <f t="shared" si="0"/>
        <v>2</v>
      </c>
      <c r="E56">
        <f t="shared" si="1"/>
        <v>4</v>
      </c>
    </row>
    <row r="57" spans="1:5" x14ac:dyDescent="0.25">
      <c r="A57">
        <v>5.7</v>
      </c>
      <c r="B57">
        <v>2.8</v>
      </c>
      <c r="C57" t="s">
        <v>7</v>
      </c>
      <c r="D57">
        <f t="shared" si="0"/>
        <v>2</v>
      </c>
      <c r="E57">
        <f t="shared" si="1"/>
        <v>4</v>
      </c>
    </row>
    <row r="58" spans="1:5" x14ac:dyDescent="0.25">
      <c r="A58">
        <v>6.3</v>
      </c>
      <c r="B58">
        <v>3.3</v>
      </c>
      <c r="C58" t="s">
        <v>7</v>
      </c>
      <c r="D58">
        <f t="shared" si="0"/>
        <v>2</v>
      </c>
      <c r="E58">
        <f t="shared" si="1"/>
        <v>4</v>
      </c>
    </row>
    <row r="59" spans="1:5" x14ac:dyDescent="0.25">
      <c r="A59">
        <v>4.9000000000000004</v>
      </c>
      <c r="B59">
        <v>2.4</v>
      </c>
      <c r="C59" t="s">
        <v>7</v>
      </c>
      <c r="D59">
        <f t="shared" si="0"/>
        <v>2</v>
      </c>
      <c r="E59">
        <f t="shared" si="1"/>
        <v>4</v>
      </c>
    </row>
    <row r="60" spans="1:5" x14ac:dyDescent="0.25">
      <c r="A60">
        <v>6.6</v>
      </c>
      <c r="B60">
        <v>2.9</v>
      </c>
      <c r="C60" t="s">
        <v>7</v>
      </c>
      <c r="D60">
        <f t="shared" si="0"/>
        <v>2</v>
      </c>
      <c r="E60">
        <f t="shared" si="1"/>
        <v>4</v>
      </c>
    </row>
    <row r="61" spans="1:5" x14ac:dyDescent="0.25">
      <c r="A61">
        <v>5.2</v>
      </c>
      <c r="B61">
        <v>2.7</v>
      </c>
      <c r="C61" t="s">
        <v>7</v>
      </c>
      <c r="D61">
        <f t="shared" si="0"/>
        <v>2</v>
      </c>
      <c r="E61">
        <f t="shared" si="1"/>
        <v>4</v>
      </c>
    </row>
    <row r="62" spans="1:5" x14ac:dyDescent="0.25">
      <c r="A62">
        <v>5</v>
      </c>
      <c r="B62">
        <v>2</v>
      </c>
      <c r="C62" t="s">
        <v>7</v>
      </c>
      <c r="D62">
        <f t="shared" si="0"/>
        <v>2</v>
      </c>
      <c r="E62">
        <f t="shared" si="1"/>
        <v>4</v>
      </c>
    </row>
    <row r="63" spans="1:5" x14ac:dyDescent="0.25">
      <c r="A63">
        <v>5.9</v>
      </c>
      <c r="B63">
        <v>3</v>
      </c>
      <c r="C63" t="s">
        <v>7</v>
      </c>
      <c r="D63">
        <f t="shared" si="0"/>
        <v>2</v>
      </c>
      <c r="E63">
        <f t="shared" si="1"/>
        <v>4</v>
      </c>
    </row>
    <row r="64" spans="1:5" x14ac:dyDescent="0.25">
      <c r="A64">
        <v>6</v>
      </c>
      <c r="B64">
        <v>2.2000000000000002</v>
      </c>
      <c r="C64" t="s">
        <v>7</v>
      </c>
      <c r="D64">
        <f t="shared" si="0"/>
        <v>2</v>
      </c>
      <c r="E64">
        <f t="shared" si="1"/>
        <v>4</v>
      </c>
    </row>
    <row r="65" spans="1:5" x14ac:dyDescent="0.25">
      <c r="A65">
        <v>6.1</v>
      </c>
      <c r="B65">
        <v>2.9</v>
      </c>
      <c r="C65" t="s">
        <v>7</v>
      </c>
      <c r="D65">
        <f t="shared" si="0"/>
        <v>2</v>
      </c>
      <c r="E65">
        <f t="shared" si="1"/>
        <v>4</v>
      </c>
    </row>
    <row r="66" spans="1:5" x14ac:dyDescent="0.25">
      <c r="A66">
        <v>5.6</v>
      </c>
      <c r="B66">
        <v>2.9</v>
      </c>
      <c r="C66" t="s">
        <v>7</v>
      </c>
      <c r="D66">
        <f t="shared" si="0"/>
        <v>2</v>
      </c>
      <c r="E66">
        <f t="shared" si="1"/>
        <v>4</v>
      </c>
    </row>
    <row r="67" spans="1:5" x14ac:dyDescent="0.25">
      <c r="A67">
        <v>6.7</v>
      </c>
      <c r="B67">
        <v>3.1</v>
      </c>
      <c r="C67" t="s">
        <v>7</v>
      </c>
      <c r="D67">
        <f t="shared" ref="D67:D130" si="2">IF(C67="Iris-setosa",1,IF(C67="Iris-versicolor",2,3))</f>
        <v>2</v>
      </c>
      <c r="E67">
        <f t="shared" ref="E67:E130" si="3">IF(C67="Iris-setosa",3,IF(C67="Iris-versicolor",4,5))</f>
        <v>4</v>
      </c>
    </row>
    <row r="68" spans="1:5" x14ac:dyDescent="0.25">
      <c r="A68">
        <v>5.6</v>
      </c>
      <c r="B68">
        <v>3</v>
      </c>
      <c r="C68" t="s">
        <v>7</v>
      </c>
      <c r="D68">
        <f t="shared" si="2"/>
        <v>2</v>
      </c>
      <c r="E68">
        <f t="shared" si="3"/>
        <v>4</v>
      </c>
    </row>
    <row r="69" spans="1:5" x14ac:dyDescent="0.25">
      <c r="A69">
        <v>5.8</v>
      </c>
      <c r="B69">
        <v>2.7</v>
      </c>
      <c r="C69" t="s">
        <v>7</v>
      </c>
      <c r="D69">
        <f t="shared" si="2"/>
        <v>2</v>
      </c>
      <c r="E69">
        <f t="shared" si="3"/>
        <v>4</v>
      </c>
    </row>
    <row r="70" spans="1:5" x14ac:dyDescent="0.25">
      <c r="A70">
        <v>6.2</v>
      </c>
      <c r="B70">
        <v>2.2000000000000002</v>
      </c>
      <c r="C70" t="s">
        <v>7</v>
      </c>
      <c r="D70">
        <f t="shared" si="2"/>
        <v>2</v>
      </c>
      <c r="E70">
        <f t="shared" si="3"/>
        <v>4</v>
      </c>
    </row>
    <row r="71" spans="1:5" x14ac:dyDescent="0.25">
      <c r="A71">
        <v>5.6</v>
      </c>
      <c r="B71">
        <v>2.5</v>
      </c>
      <c r="C71" t="s">
        <v>7</v>
      </c>
      <c r="D71">
        <f t="shared" si="2"/>
        <v>2</v>
      </c>
      <c r="E71">
        <f t="shared" si="3"/>
        <v>4</v>
      </c>
    </row>
    <row r="72" spans="1:5" x14ac:dyDescent="0.25">
      <c r="A72">
        <v>5.9</v>
      </c>
      <c r="B72">
        <v>3.2</v>
      </c>
      <c r="C72" t="s">
        <v>7</v>
      </c>
      <c r="D72">
        <f t="shared" si="2"/>
        <v>2</v>
      </c>
      <c r="E72">
        <f t="shared" si="3"/>
        <v>4</v>
      </c>
    </row>
    <row r="73" spans="1:5" x14ac:dyDescent="0.25">
      <c r="A73">
        <v>6.1</v>
      </c>
      <c r="B73">
        <v>2.8</v>
      </c>
      <c r="C73" t="s">
        <v>7</v>
      </c>
      <c r="D73">
        <f t="shared" si="2"/>
        <v>2</v>
      </c>
      <c r="E73">
        <f t="shared" si="3"/>
        <v>4</v>
      </c>
    </row>
    <row r="74" spans="1:5" x14ac:dyDescent="0.25">
      <c r="A74">
        <v>6.3</v>
      </c>
      <c r="B74">
        <v>2.5</v>
      </c>
      <c r="C74" t="s">
        <v>7</v>
      </c>
      <c r="D74">
        <f t="shared" si="2"/>
        <v>2</v>
      </c>
      <c r="E74">
        <f t="shared" si="3"/>
        <v>4</v>
      </c>
    </row>
    <row r="75" spans="1:5" x14ac:dyDescent="0.25">
      <c r="A75">
        <v>6.1</v>
      </c>
      <c r="B75">
        <v>2.8</v>
      </c>
      <c r="C75" t="s">
        <v>7</v>
      </c>
      <c r="D75">
        <f t="shared" si="2"/>
        <v>2</v>
      </c>
      <c r="E75">
        <f t="shared" si="3"/>
        <v>4</v>
      </c>
    </row>
    <row r="76" spans="1:5" x14ac:dyDescent="0.25">
      <c r="A76">
        <v>6.4</v>
      </c>
      <c r="B76">
        <v>2.9</v>
      </c>
      <c r="C76" t="s">
        <v>7</v>
      </c>
      <c r="D76">
        <f t="shared" si="2"/>
        <v>2</v>
      </c>
      <c r="E76">
        <f t="shared" si="3"/>
        <v>4</v>
      </c>
    </row>
    <row r="77" spans="1:5" x14ac:dyDescent="0.25">
      <c r="A77">
        <v>6.6</v>
      </c>
      <c r="B77">
        <v>3</v>
      </c>
      <c r="C77" t="s">
        <v>7</v>
      </c>
      <c r="D77">
        <f t="shared" si="2"/>
        <v>2</v>
      </c>
      <c r="E77">
        <f t="shared" si="3"/>
        <v>4</v>
      </c>
    </row>
    <row r="78" spans="1:5" x14ac:dyDescent="0.25">
      <c r="A78">
        <v>6.8</v>
      </c>
      <c r="B78">
        <v>2.8</v>
      </c>
      <c r="C78" t="s">
        <v>7</v>
      </c>
      <c r="D78">
        <f t="shared" si="2"/>
        <v>2</v>
      </c>
      <c r="E78">
        <f t="shared" si="3"/>
        <v>4</v>
      </c>
    </row>
    <row r="79" spans="1:5" x14ac:dyDescent="0.25">
      <c r="A79">
        <v>6.7</v>
      </c>
      <c r="B79">
        <v>3</v>
      </c>
      <c r="C79" t="s">
        <v>7</v>
      </c>
      <c r="D79">
        <f t="shared" si="2"/>
        <v>2</v>
      </c>
      <c r="E79">
        <f t="shared" si="3"/>
        <v>4</v>
      </c>
    </row>
    <row r="80" spans="1:5" x14ac:dyDescent="0.25">
      <c r="A80">
        <v>6</v>
      </c>
      <c r="B80">
        <v>2.9</v>
      </c>
      <c r="C80" t="s">
        <v>7</v>
      </c>
      <c r="D80">
        <f t="shared" si="2"/>
        <v>2</v>
      </c>
      <c r="E80">
        <f t="shared" si="3"/>
        <v>4</v>
      </c>
    </row>
    <row r="81" spans="1:5" x14ac:dyDescent="0.25">
      <c r="A81">
        <v>5.7</v>
      </c>
      <c r="B81">
        <v>2.6</v>
      </c>
      <c r="C81" t="s">
        <v>7</v>
      </c>
      <c r="D81">
        <f t="shared" si="2"/>
        <v>2</v>
      </c>
      <c r="E81">
        <f t="shared" si="3"/>
        <v>4</v>
      </c>
    </row>
    <row r="82" spans="1:5" x14ac:dyDescent="0.25">
      <c r="A82">
        <v>5.5</v>
      </c>
      <c r="B82">
        <v>2.4</v>
      </c>
      <c r="C82" t="s">
        <v>7</v>
      </c>
      <c r="D82">
        <f t="shared" si="2"/>
        <v>2</v>
      </c>
      <c r="E82">
        <f t="shared" si="3"/>
        <v>4</v>
      </c>
    </row>
    <row r="83" spans="1:5" x14ac:dyDescent="0.25">
      <c r="A83">
        <v>5.5</v>
      </c>
      <c r="B83">
        <v>2.4</v>
      </c>
      <c r="C83" t="s">
        <v>7</v>
      </c>
      <c r="D83">
        <f t="shared" si="2"/>
        <v>2</v>
      </c>
      <c r="E83">
        <f t="shared" si="3"/>
        <v>4</v>
      </c>
    </row>
    <row r="84" spans="1:5" x14ac:dyDescent="0.25">
      <c r="A84">
        <v>5.8</v>
      </c>
      <c r="B84">
        <v>2.7</v>
      </c>
      <c r="C84" t="s">
        <v>7</v>
      </c>
      <c r="D84">
        <f t="shared" si="2"/>
        <v>2</v>
      </c>
      <c r="E84">
        <f t="shared" si="3"/>
        <v>4</v>
      </c>
    </row>
    <row r="85" spans="1:5" x14ac:dyDescent="0.25">
      <c r="A85">
        <v>6</v>
      </c>
      <c r="B85">
        <v>2.7</v>
      </c>
      <c r="C85" t="s">
        <v>7</v>
      </c>
      <c r="D85">
        <f t="shared" si="2"/>
        <v>2</v>
      </c>
      <c r="E85">
        <f t="shared" si="3"/>
        <v>4</v>
      </c>
    </row>
    <row r="86" spans="1:5" x14ac:dyDescent="0.25">
      <c r="A86">
        <v>5.4</v>
      </c>
      <c r="B86">
        <v>3</v>
      </c>
      <c r="C86" t="s">
        <v>7</v>
      </c>
      <c r="D86">
        <f t="shared" si="2"/>
        <v>2</v>
      </c>
      <c r="E86">
        <f t="shared" si="3"/>
        <v>4</v>
      </c>
    </row>
    <row r="87" spans="1:5" x14ac:dyDescent="0.25">
      <c r="A87">
        <v>6</v>
      </c>
      <c r="B87">
        <v>3.4</v>
      </c>
      <c r="C87" t="s">
        <v>7</v>
      </c>
      <c r="D87">
        <f t="shared" si="2"/>
        <v>2</v>
      </c>
      <c r="E87">
        <f t="shared" si="3"/>
        <v>4</v>
      </c>
    </row>
    <row r="88" spans="1:5" x14ac:dyDescent="0.25">
      <c r="A88">
        <v>6.7</v>
      </c>
      <c r="B88">
        <v>3.1</v>
      </c>
      <c r="C88" t="s">
        <v>7</v>
      </c>
      <c r="D88">
        <f t="shared" si="2"/>
        <v>2</v>
      </c>
      <c r="E88">
        <f t="shared" si="3"/>
        <v>4</v>
      </c>
    </row>
    <row r="89" spans="1:5" x14ac:dyDescent="0.25">
      <c r="A89">
        <v>6.3</v>
      </c>
      <c r="B89">
        <v>2.2999999999999998</v>
      </c>
      <c r="C89" t="s">
        <v>7</v>
      </c>
      <c r="D89">
        <f t="shared" si="2"/>
        <v>2</v>
      </c>
      <c r="E89">
        <f t="shared" si="3"/>
        <v>4</v>
      </c>
    </row>
    <row r="90" spans="1:5" x14ac:dyDescent="0.25">
      <c r="A90">
        <v>5.6</v>
      </c>
      <c r="B90">
        <v>3</v>
      </c>
      <c r="C90" t="s">
        <v>7</v>
      </c>
      <c r="D90">
        <f t="shared" si="2"/>
        <v>2</v>
      </c>
      <c r="E90">
        <f t="shared" si="3"/>
        <v>4</v>
      </c>
    </row>
    <row r="91" spans="1:5" x14ac:dyDescent="0.25">
      <c r="A91">
        <v>5.5</v>
      </c>
      <c r="B91">
        <v>2.5</v>
      </c>
      <c r="C91" t="s">
        <v>7</v>
      </c>
      <c r="D91">
        <f t="shared" si="2"/>
        <v>2</v>
      </c>
      <c r="E91">
        <f t="shared" si="3"/>
        <v>4</v>
      </c>
    </row>
    <row r="92" spans="1:5" x14ac:dyDescent="0.25">
      <c r="A92">
        <v>5.5</v>
      </c>
      <c r="B92">
        <v>2.6</v>
      </c>
      <c r="C92" t="s">
        <v>7</v>
      </c>
      <c r="D92">
        <f t="shared" si="2"/>
        <v>2</v>
      </c>
      <c r="E92">
        <f t="shared" si="3"/>
        <v>4</v>
      </c>
    </row>
    <row r="93" spans="1:5" x14ac:dyDescent="0.25">
      <c r="A93">
        <v>6.1</v>
      </c>
      <c r="B93">
        <v>3</v>
      </c>
      <c r="C93" t="s">
        <v>7</v>
      </c>
      <c r="D93">
        <f t="shared" si="2"/>
        <v>2</v>
      </c>
      <c r="E93">
        <f t="shared" si="3"/>
        <v>4</v>
      </c>
    </row>
    <row r="94" spans="1:5" x14ac:dyDescent="0.25">
      <c r="A94">
        <v>5.8</v>
      </c>
      <c r="B94">
        <v>2.6</v>
      </c>
      <c r="C94" t="s">
        <v>7</v>
      </c>
      <c r="D94">
        <f t="shared" si="2"/>
        <v>2</v>
      </c>
      <c r="E94">
        <f t="shared" si="3"/>
        <v>4</v>
      </c>
    </row>
    <row r="95" spans="1:5" x14ac:dyDescent="0.25">
      <c r="A95">
        <v>5</v>
      </c>
      <c r="B95">
        <v>2.2999999999999998</v>
      </c>
      <c r="C95" t="s">
        <v>7</v>
      </c>
      <c r="D95">
        <f t="shared" si="2"/>
        <v>2</v>
      </c>
      <c r="E95">
        <f t="shared" si="3"/>
        <v>4</v>
      </c>
    </row>
    <row r="96" spans="1:5" x14ac:dyDescent="0.25">
      <c r="A96">
        <v>5.6</v>
      </c>
      <c r="B96">
        <v>2.7</v>
      </c>
      <c r="C96" t="s">
        <v>7</v>
      </c>
      <c r="D96">
        <f t="shared" si="2"/>
        <v>2</v>
      </c>
      <c r="E96">
        <f t="shared" si="3"/>
        <v>4</v>
      </c>
    </row>
    <row r="97" spans="1:5" x14ac:dyDescent="0.25">
      <c r="A97">
        <v>5.7</v>
      </c>
      <c r="B97">
        <v>3</v>
      </c>
      <c r="C97" t="s">
        <v>7</v>
      </c>
      <c r="D97">
        <f t="shared" si="2"/>
        <v>2</v>
      </c>
      <c r="E97">
        <f t="shared" si="3"/>
        <v>4</v>
      </c>
    </row>
    <row r="98" spans="1:5" x14ac:dyDescent="0.25">
      <c r="A98">
        <v>5.7</v>
      </c>
      <c r="B98">
        <v>2.9</v>
      </c>
      <c r="C98" t="s">
        <v>7</v>
      </c>
      <c r="D98">
        <f t="shared" si="2"/>
        <v>2</v>
      </c>
      <c r="E98">
        <f t="shared" si="3"/>
        <v>4</v>
      </c>
    </row>
    <row r="99" spans="1:5" x14ac:dyDescent="0.25">
      <c r="A99">
        <v>6.2</v>
      </c>
      <c r="B99">
        <v>2.9</v>
      </c>
      <c r="C99" t="s">
        <v>7</v>
      </c>
      <c r="D99">
        <f t="shared" si="2"/>
        <v>2</v>
      </c>
      <c r="E99">
        <f t="shared" si="3"/>
        <v>4</v>
      </c>
    </row>
    <row r="100" spans="1:5" x14ac:dyDescent="0.25">
      <c r="A100">
        <v>5.0999999999999996</v>
      </c>
      <c r="B100">
        <v>2.5</v>
      </c>
      <c r="C100" t="s">
        <v>7</v>
      </c>
      <c r="D100">
        <f t="shared" si="2"/>
        <v>2</v>
      </c>
      <c r="E100">
        <f t="shared" si="3"/>
        <v>4</v>
      </c>
    </row>
    <row r="101" spans="1:5" x14ac:dyDescent="0.25">
      <c r="A101">
        <v>5.7</v>
      </c>
      <c r="B101">
        <v>2.8</v>
      </c>
      <c r="C101" t="s">
        <v>7</v>
      </c>
      <c r="D101">
        <f t="shared" si="2"/>
        <v>2</v>
      </c>
      <c r="E101">
        <f t="shared" si="3"/>
        <v>4</v>
      </c>
    </row>
    <row r="102" spans="1:5" x14ac:dyDescent="0.25">
      <c r="A102">
        <v>6.3</v>
      </c>
      <c r="B102">
        <v>3.3</v>
      </c>
      <c r="C102" t="s">
        <v>8</v>
      </c>
      <c r="D102">
        <f t="shared" si="2"/>
        <v>3</v>
      </c>
      <c r="E102">
        <f t="shared" si="3"/>
        <v>5</v>
      </c>
    </row>
    <row r="103" spans="1:5" x14ac:dyDescent="0.25">
      <c r="A103">
        <v>5.8</v>
      </c>
      <c r="B103">
        <v>2.7</v>
      </c>
      <c r="C103" t="s">
        <v>8</v>
      </c>
      <c r="D103">
        <f t="shared" si="2"/>
        <v>3</v>
      </c>
      <c r="E103">
        <f t="shared" si="3"/>
        <v>5</v>
      </c>
    </row>
    <row r="104" spans="1:5" x14ac:dyDescent="0.25">
      <c r="A104">
        <v>7.1</v>
      </c>
      <c r="B104">
        <v>3</v>
      </c>
      <c r="C104" t="s">
        <v>8</v>
      </c>
      <c r="D104">
        <f t="shared" si="2"/>
        <v>3</v>
      </c>
      <c r="E104">
        <f t="shared" si="3"/>
        <v>5</v>
      </c>
    </row>
    <row r="105" spans="1:5" x14ac:dyDescent="0.25">
      <c r="A105">
        <v>6.3</v>
      </c>
      <c r="B105">
        <v>2.9</v>
      </c>
      <c r="C105" t="s">
        <v>8</v>
      </c>
      <c r="D105">
        <f t="shared" si="2"/>
        <v>3</v>
      </c>
      <c r="E105">
        <f t="shared" si="3"/>
        <v>5</v>
      </c>
    </row>
    <row r="106" spans="1:5" x14ac:dyDescent="0.25">
      <c r="A106">
        <v>6.5</v>
      </c>
      <c r="B106">
        <v>3</v>
      </c>
      <c r="C106" t="s">
        <v>8</v>
      </c>
      <c r="D106">
        <f t="shared" si="2"/>
        <v>3</v>
      </c>
      <c r="E106">
        <f t="shared" si="3"/>
        <v>5</v>
      </c>
    </row>
    <row r="107" spans="1:5" x14ac:dyDescent="0.25">
      <c r="A107">
        <v>7.6</v>
      </c>
      <c r="B107">
        <v>3</v>
      </c>
      <c r="C107" t="s">
        <v>8</v>
      </c>
      <c r="D107">
        <f t="shared" si="2"/>
        <v>3</v>
      </c>
      <c r="E107">
        <f t="shared" si="3"/>
        <v>5</v>
      </c>
    </row>
    <row r="108" spans="1:5" x14ac:dyDescent="0.25">
      <c r="A108">
        <v>4.9000000000000004</v>
      </c>
      <c r="B108">
        <v>2.5</v>
      </c>
      <c r="C108" t="s">
        <v>8</v>
      </c>
      <c r="D108">
        <f t="shared" si="2"/>
        <v>3</v>
      </c>
      <c r="E108">
        <f t="shared" si="3"/>
        <v>5</v>
      </c>
    </row>
    <row r="109" spans="1:5" x14ac:dyDescent="0.25">
      <c r="A109">
        <v>7.3</v>
      </c>
      <c r="B109">
        <v>2.9</v>
      </c>
      <c r="C109" t="s">
        <v>8</v>
      </c>
      <c r="D109">
        <f t="shared" si="2"/>
        <v>3</v>
      </c>
      <c r="E109">
        <f t="shared" si="3"/>
        <v>5</v>
      </c>
    </row>
    <row r="110" spans="1:5" x14ac:dyDescent="0.25">
      <c r="A110">
        <v>6.7</v>
      </c>
      <c r="B110">
        <v>2.5</v>
      </c>
      <c r="C110" t="s">
        <v>8</v>
      </c>
      <c r="D110">
        <f t="shared" si="2"/>
        <v>3</v>
      </c>
      <c r="E110">
        <f t="shared" si="3"/>
        <v>5</v>
      </c>
    </row>
    <row r="111" spans="1:5" x14ac:dyDescent="0.25">
      <c r="A111">
        <v>7.2</v>
      </c>
      <c r="B111">
        <v>3.6</v>
      </c>
      <c r="C111" t="s">
        <v>8</v>
      </c>
      <c r="D111">
        <f t="shared" si="2"/>
        <v>3</v>
      </c>
      <c r="E111">
        <f t="shared" si="3"/>
        <v>5</v>
      </c>
    </row>
    <row r="112" spans="1:5" x14ac:dyDescent="0.25">
      <c r="A112">
        <v>6.5</v>
      </c>
      <c r="B112">
        <v>3.2</v>
      </c>
      <c r="C112" t="s">
        <v>8</v>
      </c>
      <c r="D112">
        <f t="shared" si="2"/>
        <v>3</v>
      </c>
      <c r="E112">
        <f t="shared" si="3"/>
        <v>5</v>
      </c>
    </row>
    <row r="113" spans="1:5" x14ac:dyDescent="0.25">
      <c r="A113">
        <v>6.4</v>
      </c>
      <c r="B113">
        <v>2.7</v>
      </c>
      <c r="C113" t="s">
        <v>8</v>
      </c>
      <c r="D113">
        <f t="shared" si="2"/>
        <v>3</v>
      </c>
      <c r="E113">
        <f t="shared" si="3"/>
        <v>5</v>
      </c>
    </row>
    <row r="114" spans="1:5" x14ac:dyDescent="0.25">
      <c r="A114">
        <v>6.8</v>
      </c>
      <c r="B114">
        <v>3</v>
      </c>
      <c r="C114" t="s">
        <v>8</v>
      </c>
      <c r="D114">
        <f t="shared" si="2"/>
        <v>3</v>
      </c>
      <c r="E114">
        <f t="shared" si="3"/>
        <v>5</v>
      </c>
    </row>
    <row r="115" spans="1:5" x14ac:dyDescent="0.25">
      <c r="A115">
        <v>5.7</v>
      </c>
      <c r="B115">
        <v>2.5</v>
      </c>
      <c r="C115" t="s">
        <v>8</v>
      </c>
      <c r="D115">
        <f t="shared" si="2"/>
        <v>3</v>
      </c>
      <c r="E115">
        <f t="shared" si="3"/>
        <v>5</v>
      </c>
    </row>
    <row r="116" spans="1:5" x14ac:dyDescent="0.25">
      <c r="A116">
        <v>5.8</v>
      </c>
      <c r="B116">
        <v>2.8</v>
      </c>
      <c r="C116" t="s">
        <v>8</v>
      </c>
      <c r="D116">
        <f t="shared" si="2"/>
        <v>3</v>
      </c>
      <c r="E116">
        <f t="shared" si="3"/>
        <v>5</v>
      </c>
    </row>
    <row r="117" spans="1:5" x14ac:dyDescent="0.25">
      <c r="A117">
        <v>6.4</v>
      </c>
      <c r="B117">
        <v>3.2</v>
      </c>
      <c r="C117" t="s">
        <v>8</v>
      </c>
      <c r="D117">
        <f t="shared" si="2"/>
        <v>3</v>
      </c>
      <c r="E117">
        <f t="shared" si="3"/>
        <v>5</v>
      </c>
    </row>
    <row r="118" spans="1:5" x14ac:dyDescent="0.25">
      <c r="A118">
        <v>6.5</v>
      </c>
      <c r="B118">
        <v>3</v>
      </c>
      <c r="C118" t="s">
        <v>8</v>
      </c>
      <c r="D118">
        <f t="shared" si="2"/>
        <v>3</v>
      </c>
      <c r="E118">
        <f t="shared" si="3"/>
        <v>5</v>
      </c>
    </row>
    <row r="119" spans="1:5" x14ac:dyDescent="0.25">
      <c r="A119">
        <v>7.7</v>
      </c>
      <c r="B119">
        <v>3.8</v>
      </c>
      <c r="C119" t="s">
        <v>8</v>
      </c>
      <c r="D119">
        <f t="shared" si="2"/>
        <v>3</v>
      </c>
      <c r="E119">
        <f t="shared" si="3"/>
        <v>5</v>
      </c>
    </row>
    <row r="120" spans="1:5" x14ac:dyDescent="0.25">
      <c r="A120">
        <v>7.7</v>
      </c>
      <c r="B120">
        <v>2.6</v>
      </c>
      <c r="C120" t="s">
        <v>8</v>
      </c>
      <c r="D120">
        <f t="shared" si="2"/>
        <v>3</v>
      </c>
      <c r="E120">
        <f t="shared" si="3"/>
        <v>5</v>
      </c>
    </row>
    <row r="121" spans="1:5" x14ac:dyDescent="0.25">
      <c r="A121">
        <v>6</v>
      </c>
      <c r="B121">
        <v>2.2000000000000002</v>
      </c>
      <c r="C121" t="s">
        <v>8</v>
      </c>
      <c r="D121">
        <f t="shared" si="2"/>
        <v>3</v>
      </c>
      <c r="E121">
        <f t="shared" si="3"/>
        <v>5</v>
      </c>
    </row>
    <row r="122" spans="1:5" x14ac:dyDescent="0.25">
      <c r="A122">
        <v>6.9</v>
      </c>
      <c r="B122">
        <v>3.2</v>
      </c>
      <c r="C122" t="s">
        <v>8</v>
      </c>
      <c r="D122">
        <f t="shared" si="2"/>
        <v>3</v>
      </c>
      <c r="E122">
        <f t="shared" si="3"/>
        <v>5</v>
      </c>
    </row>
    <row r="123" spans="1:5" x14ac:dyDescent="0.25">
      <c r="A123">
        <v>5.6</v>
      </c>
      <c r="B123">
        <v>2.8</v>
      </c>
      <c r="C123" t="s">
        <v>8</v>
      </c>
      <c r="D123">
        <f t="shared" si="2"/>
        <v>3</v>
      </c>
      <c r="E123">
        <f t="shared" si="3"/>
        <v>5</v>
      </c>
    </row>
    <row r="124" spans="1:5" x14ac:dyDescent="0.25">
      <c r="A124">
        <v>7.7</v>
      </c>
      <c r="B124">
        <v>2.8</v>
      </c>
      <c r="C124" t="s">
        <v>8</v>
      </c>
      <c r="D124">
        <f t="shared" si="2"/>
        <v>3</v>
      </c>
      <c r="E124">
        <f t="shared" si="3"/>
        <v>5</v>
      </c>
    </row>
    <row r="125" spans="1:5" x14ac:dyDescent="0.25">
      <c r="A125">
        <v>6.3</v>
      </c>
      <c r="B125">
        <v>2.7</v>
      </c>
      <c r="C125" t="s">
        <v>8</v>
      </c>
      <c r="D125">
        <f t="shared" si="2"/>
        <v>3</v>
      </c>
      <c r="E125">
        <f t="shared" si="3"/>
        <v>5</v>
      </c>
    </row>
    <row r="126" spans="1:5" x14ac:dyDescent="0.25">
      <c r="A126">
        <v>6.7</v>
      </c>
      <c r="B126">
        <v>3.3</v>
      </c>
      <c r="C126" t="s">
        <v>8</v>
      </c>
      <c r="D126">
        <f t="shared" si="2"/>
        <v>3</v>
      </c>
      <c r="E126">
        <f t="shared" si="3"/>
        <v>5</v>
      </c>
    </row>
    <row r="127" spans="1:5" x14ac:dyDescent="0.25">
      <c r="A127">
        <v>7.2</v>
      </c>
      <c r="B127">
        <v>3.2</v>
      </c>
      <c r="C127" t="s">
        <v>8</v>
      </c>
      <c r="D127">
        <f t="shared" si="2"/>
        <v>3</v>
      </c>
      <c r="E127">
        <f t="shared" si="3"/>
        <v>5</v>
      </c>
    </row>
    <row r="128" spans="1:5" x14ac:dyDescent="0.25">
      <c r="A128">
        <v>6.2</v>
      </c>
      <c r="B128">
        <v>2.8</v>
      </c>
      <c r="C128" t="s">
        <v>8</v>
      </c>
      <c r="D128">
        <f t="shared" si="2"/>
        <v>3</v>
      </c>
      <c r="E128">
        <f t="shared" si="3"/>
        <v>5</v>
      </c>
    </row>
    <row r="129" spans="1:5" x14ac:dyDescent="0.25">
      <c r="A129">
        <v>6.1</v>
      </c>
      <c r="B129">
        <v>3</v>
      </c>
      <c r="C129" t="s">
        <v>8</v>
      </c>
      <c r="D129">
        <f t="shared" si="2"/>
        <v>3</v>
      </c>
      <c r="E129">
        <f t="shared" si="3"/>
        <v>5</v>
      </c>
    </row>
    <row r="130" spans="1:5" x14ac:dyDescent="0.25">
      <c r="A130">
        <v>6.4</v>
      </c>
      <c r="B130">
        <v>2.8</v>
      </c>
      <c r="C130" t="s">
        <v>8</v>
      </c>
      <c r="D130">
        <f t="shared" si="2"/>
        <v>3</v>
      </c>
      <c r="E130">
        <f t="shared" si="3"/>
        <v>5</v>
      </c>
    </row>
    <row r="131" spans="1:5" x14ac:dyDescent="0.25">
      <c r="A131">
        <v>7.2</v>
      </c>
      <c r="B131">
        <v>3</v>
      </c>
      <c r="C131" t="s">
        <v>8</v>
      </c>
      <c r="D131">
        <f t="shared" ref="D131:D151" si="4">IF(C131="Iris-setosa",1,IF(C131="Iris-versicolor",2,3))</f>
        <v>3</v>
      </c>
      <c r="E131">
        <f t="shared" ref="E131:E151" si="5">IF(C131="Iris-setosa",3,IF(C131="Iris-versicolor",4,5))</f>
        <v>5</v>
      </c>
    </row>
    <row r="132" spans="1:5" x14ac:dyDescent="0.25">
      <c r="A132">
        <v>7.4</v>
      </c>
      <c r="B132">
        <v>2.8</v>
      </c>
      <c r="C132" t="s">
        <v>8</v>
      </c>
      <c r="D132">
        <f t="shared" si="4"/>
        <v>3</v>
      </c>
      <c r="E132">
        <f t="shared" si="5"/>
        <v>5</v>
      </c>
    </row>
    <row r="133" spans="1:5" x14ac:dyDescent="0.25">
      <c r="A133">
        <v>7.9</v>
      </c>
      <c r="B133">
        <v>3.8</v>
      </c>
      <c r="C133" t="s">
        <v>8</v>
      </c>
      <c r="D133">
        <f t="shared" si="4"/>
        <v>3</v>
      </c>
      <c r="E133">
        <f t="shared" si="5"/>
        <v>5</v>
      </c>
    </row>
    <row r="134" spans="1:5" x14ac:dyDescent="0.25">
      <c r="A134">
        <v>6.4</v>
      </c>
      <c r="B134">
        <v>2.8</v>
      </c>
      <c r="C134" t="s">
        <v>8</v>
      </c>
      <c r="D134">
        <f t="shared" si="4"/>
        <v>3</v>
      </c>
      <c r="E134">
        <f t="shared" si="5"/>
        <v>5</v>
      </c>
    </row>
    <row r="135" spans="1:5" x14ac:dyDescent="0.25">
      <c r="A135">
        <v>6.3</v>
      </c>
      <c r="B135">
        <v>2.8</v>
      </c>
      <c r="C135" t="s">
        <v>8</v>
      </c>
      <c r="D135">
        <f t="shared" si="4"/>
        <v>3</v>
      </c>
      <c r="E135">
        <f t="shared" si="5"/>
        <v>5</v>
      </c>
    </row>
    <row r="136" spans="1:5" x14ac:dyDescent="0.25">
      <c r="A136">
        <v>6.1</v>
      </c>
      <c r="B136">
        <v>2.6</v>
      </c>
      <c r="C136" t="s">
        <v>8</v>
      </c>
      <c r="D136">
        <f t="shared" si="4"/>
        <v>3</v>
      </c>
      <c r="E136">
        <f t="shared" si="5"/>
        <v>5</v>
      </c>
    </row>
    <row r="137" spans="1:5" x14ac:dyDescent="0.25">
      <c r="A137">
        <v>7.7</v>
      </c>
      <c r="B137">
        <v>3</v>
      </c>
      <c r="C137" t="s">
        <v>8</v>
      </c>
      <c r="D137">
        <f t="shared" si="4"/>
        <v>3</v>
      </c>
      <c r="E137">
        <f t="shared" si="5"/>
        <v>5</v>
      </c>
    </row>
    <row r="138" spans="1:5" x14ac:dyDescent="0.25">
      <c r="A138">
        <v>6.3</v>
      </c>
      <c r="B138">
        <v>3.4</v>
      </c>
      <c r="C138" t="s">
        <v>8</v>
      </c>
      <c r="D138">
        <f t="shared" si="4"/>
        <v>3</v>
      </c>
      <c r="E138">
        <f t="shared" si="5"/>
        <v>5</v>
      </c>
    </row>
    <row r="139" spans="1:5" x14ac:dyDescent="0.25">
      <c r="A139">
        <v>6.4</v>
      </c>
      <c r="B139">
        <v>3.1</v>
      </c>
      <c r="C139" t="s">
        <v>8</v>
      </c>
      <c r="D139">
        <f t="shared" si="4"/>
        <v>3</v>
      </c>
      <c r="E139">
        <f t="shared" si="5"/>
        <v>5</v>
      </c>
    </row>
    <row r="140" spans="1:5" x14ac:dyDescent="0.25">
      <c r="A140">
        <v>6</v>
      </c>
      <c r="B140">
        <v>3</v>
      </c>
      <c r="C140" t="s">
        <v>8</v>
      </c>
      <c r="D140">
        <f t="shared" si="4"/>
        <v>3</v>
      </c>
      <c r="E140">
        <f t="shared" si="5"/>
        <v>5</v>
      </c>
    </row>
    <row r="141" spans="1:5" x14ac:dyDescent="0.25">
      <c r="A141">
        <v>6.9</v>
      </c>
      <c r="B141">
        <v>3.1</v>
      </c>
      <c r="C141" t="s">
        <v>8</v>
      </c>
      <c r="D141">
        <f t="shared" si="4"/>
        <v>3</v>
      </c>
      <c r="E141">
        <f t="shared" si="5"/>
        <v>5</v>
      </c>
    </row>
    <row r="142" spans="1:5" x14ac:dyDescent="0.25">
      <c r="A142">
        <v>6.7</v>
      </c>
      <c r="B142">
        <v>3.1</v>
      </c>
      <c r="C142" t="s">
        <v>8</v>
      </c>
      <c r="D142">
        <f t="shared" si="4"/>
        <v>3</v>
      </c>
      <c r="E142">
        <f t="shared" si="5"/>
        <v>5</v>
      </c>
    </row>
    <row r="143" spans="1:5" x14ac:dyDescent="0.25">
      <c r="A143">
        <v>6.9</v>
      </c>
      <c r="B143">
        <v>3.1</v>
      </c>
      <c r="C143" t="s">
        <v>8</v>
      </c>
      <c r="D143">
        <f t="shared" si="4"/>
        <v>3</v>
      </c>
      <c r="E143">
        <f t="shared" si="5"/>
        <v>5</v>
      </c>
    </row>
    <row r="144" spans="1:5" x14ac:dyDescent="0.25">
      <c r="A144">
        <v>5.8</v>
      </c>
      <c r="B144">
        <v>2.7</v>
      </c>
      <c r="C144" t="s">
        <v>8</v>
      </c>
      <c r="D144">
        <f t="shared" si="4"/>
        <v>3</v>
      </c>
      <c r="E144">
        <f t="shared" si="5"/>
        <v>5</v>
      </c>
    </row>
    <row r="145" spans="1:5" x14ac:dyDescent="0.25">
      <c r="A145">
        <v>6.8</v>
      </c>
      <c r="B145">
        <v>3.2</v>
      </c>
      <c r="C145" t="s">
        <v>8</v>
      </c>
      <c r="D145">
        <f t="shared" si="4"/>
        <v>3</v>
      </c>
      <c r="E145">
        <f t="shared" si="5"/>
        <v>5</v>
      </c>
    </row>
    <row r="146" spans="1:5" x14ac:dyDescent="0.25">
      <c r="A146">
        <v>6.7</v>
      </c>
      <c r="B146">
        <v>3.3</v>
      </c>
      <c r="C146" t="s">
        <v>8</v>
      </c>
      <c r="D146">
        <f t="shared" si="4"/>
        <v>3</v>
      </c>
      <c r="E146">
        <f t="shared" si="5"/>
        <v>5</v>
      </c>
    </row>
    <row r="147" spans="1:5" x14ac:dyDescent="0.25">
      <c r="A147">
        <v>6.7</v>
      </c>
      <c r="B147">
        <v>3</v>
      </c>
      <c r="C147" t="s">
        <v>8</v>
      </c>
      <c r="D147">
        <f t="shared" si="4"/>
        <v>3</v>
      </c>
      <c r="E147">
        <f t="shared" si="5"/>
        <v>5</v>
      </c>
    </row>
    <row r="148" spans="1:5" x14ac:dyDescent="0.25">
      <c r="A148">
        <v>6.3</v>
      </c>
      <c r="B148">
        <v>2.5</v>
      </c>
      <c r="C148" t="s">
        <v>8</v>
      </c>
      <c r="D148">
        <f t="shared" si="4"/>
        <v>3</v>
      </c>
      <c r="E148">
        <f t="shared" si="5"/>
        <v>5</v>
      </c>
    </row>
    <row r="149" spans="1:5" x14ac:dyDescent="0.25">
      <c r="A149">
        <v>6.5</v>
      </c>
      <c r="B149">
        <v>3</v>
      </c>
      <c r="C149" t="s">
        <v>8</v>
      </c>
      <c r="D149">
        <f t="shared" si="4"/>
        <v>3</v>
      </c>
      <c r="E149">
        <f t="shared" si="5"/>
        <v>5</v>
      </c>
    </row>
    <row r="150" spans="1:5" x14ac:dyDescent="0.25">
      <c r="A150">
        <v>6.2</v>
      </c>
      <c r="B150">
        <v>3.4</v>
      </c>
      <c r="C150" t="s">
        <v>8</v>
      </c>
      <c r="D150">
        <f t="shared" si="4"/>
        <v>3</v>
      </c>
      <c r="E150">
        <f t="shared" si="5"/>
        <v>5</v>
      </c>
    </row>
    <row r="151" spans="1:5" x14ac:dyDescent="0.25">
      <c r="A151">
        <v>5.9</v>
      </c>
      <c r="B151">
        <v>3</v>
      </c>
      <c r="C151" t="s">
        <v>8</v>
      </c>
      <c r="D151">
        <f t="shared" si="4"/>
        <v>3</v>
      </c>
      <c r="E151">
        <f t="shared" si="5"/>
        <v>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51"/>
  <sheetViews>
    <sheetView topLeftCell="A15" workbookViewId="0">
      <selection activeCell="G23" sqref="G23"/>
    </sheetView>
  </sheetViews>
  <sheetFormatPr defaultRowHeight="15" x14ac:dyDescent="0.25"/>
  <sheetData>
    <row r="1" spans="1:5" x14ac:dyDescent="0.25">
      <c r="A1" t="s">
        <v>1</v>
      </c>
      <c r="B1" t="s">
        <v>3</v>
      </c>
      <c r="C1" t="s">
        <v>5</v>
      </c>
      <c r="D1" t="s">
        <v>9</v>
      </c>
      <c r="E1" t="s">
        <v>10</v>
      </c>
    </row>
    <row r="2" spans="1:5" x14ac:dyDescent="0.25">
      <c r="A2">
        <v>5.0999999999999996</v>
      </c>
      <c r="B2">
        <v>1.4</v>
      </c>
      <c r="C2" t="s">
        <v>6</v>
      </c>
      <c r="D2">
        <f>IF(C2="Iris-setosa",1,IF(C2="Iris-versicolor",2,3))</f>
        <v>1</v>
      </c>
      <c r="E2">
        <f>IF(C2="Iris-setosa",3,IF(C2="Iris-versicolor",4,5))</f>
        <v>3</v>
      </c>
    </row>
    <row r="3" spans="1:5" x14ac:dyDescent="0.25">
      <c r="A3">
        <v>4.9000000000000004</v>
      </c>
      <c r="B3">
        <v>1.4</v>
      </c>
      <c r="C3" t="s">
        <v>6</v>
      </c>
      <c r="D3">
        <f t="shared" ref="D3:D66" si="0">IF(C3="Iris-setosa",1,IF(C3="Iris-versicolor",2,3))</f>
        <v>1</v>
      </c>
      <c r="E3">
        <f t="shared" ref="E3:E66" si="1">IF(C3="Iris-setosa",3,IF(C3="Iris-versicolor",4,5))</f>
        <v>3</v>
      </c>
    </row>
    <row r="4" spans="1:5" x14ac:dyDescent="0.25">
      <c r="A4">
        <v>4.7</v>
      </c>
      <c r="B4">
        <v>1.3</v>
      </c>
      <c r="C4" t="s">
        <v>6</v>
      </c>
      <c r="D4">
        <f t="shared" si="0"/>
        <v>1</v>
      </c>
      <c r="E4">
        <f t="shared" si="1"/>
        <v>3</v>
      </c>
    </row>
    <row r="5" spans="1:5" x14ac:dyDescent="0.25">
      <c r="A5">
        <v>4.5999999999999996</v>
      </c>
      <c r="B5">
        <v>1.5</v>
      </c>
      <c r="C5" t="s">
        <v>6</v>
      </c>
      <c r="D5">
        <f t="shared" si="0"/>
        <v>1</v>
      </c>
      <c r="E5">
        <f t="shared" si="1"/>
        <v>3</v>
      </c>
    </row>
    <row r="6" spans="1:5" x14ac:dyDescent="0.25">
      <c r="A6">
        <v>5</v>
      </c>
      <c r="B6">
        <v>1.4</v>
      </c>
      <c r="C6" t="s">
        <v>6</v>
      </c>
      <c r="D6">
        <f t="shared" si="0"/>
        <v>1</v>
      </c>
      <c r="E6">
        <f t="shared" si="1"/>
        <v>3</v>
      </c>
    </row>
    <row r="7" spans="1:5" x14ac:dyDescent="0.25">
      <c r="A7">
        <v>5.4</v>
      </c>
      <c r="B7">
        <v>1.7</v>
      </c>
      <c r="C7" t="s">
        <v>6</v>
      </c>
      <c r="D7">
        <f t="shared" si="0"/>
        <v>1</v>
      </c>
      <c r="E7">
        <f t="shared" si="1"/>
        <v>3</v>
      </c>
    </row>
    <row r="8" spans="1:5" x14ac:dyDescent="0.25">
      <c r="A8">
        <v>4.5999999999999996</v>
      </c>
      <c r="B8">
        <v>1.4</v>
      </c>
      <c r="C8" t="s">
        <v>6</v>
      </c>
      <c r="D8">
        <f t="shared" si="0"/>
        <v>1</v>
      </c>
      <c r="E8">
        <f t="shared" si="1"/>
        <v>3</v>
      </c>
    </row>
    <row r="9" spans="1:5" x14ac:dyDescent="0.25">
      <c r="A9">
        <v>5</v>
      </c>
      <c r="B9">
        <v>1.5</v>
      </c>
      <c r="C9" t="s">
        <v>6</v>
      </c>
      <c r="D9">
        <f t="shared" si="0"/>
        <v>1</v>
      </c>
      <c r="E9">
        <f t="shared" si="1"/>
        <v>3</v>
      </c>
    </row>
    <row r="10" spans="1:5" x14ac:dyDescent="0.25">
      <c r="A10">
        <v>4.4000000000000004</v>
      </c>
      <c r="B10">
        <v>1.4</v>
      </c>
      <c r="C10" t="s">
        <v>6</v>
      </c>
      <c r="D10">
        <f t="shared" si="0"/>
        <v>1</v>
      </c>
      <c r="E10">
        <f t="shared" si="1"/>
        <v>3</v>
      </c>
    </row>
    <row r="11" spans="1:5" x14ac:dyDescent="0.25">
      <c r="A11">
        <v>4.9000000000000004</v>
      </c>
      <c r="B11">
        <v>1.5</v>
      </c>
      <c r="C11" t="s">
        <v>6</v>
      </c>
      <c r="D11">
        <f t="shared" si="0"/>
        <v>1</v>
      </c>
      <c r="E11">
        <f t="shared" si="1"/>
        <v>3</v>
      </c>
    </row>
    <row r="12" spans="1:5" x14ac:dyDescent="0.25">
      <c r="A12">
        <v>5.4</v>
      </c>
      <c r="B12">
        <v>1.5</v>
      </c>
      <c r="C12" t="s">
        <v>6</v>
      </c>
      <c r="D12">
        <f t="shared" si="0"/>
        <v>1</v>
      </c>
      <c r="E12">
        <f t="shared" si="1"/>
        <v>3</v>
      </c>
    </row>
    <row r="13" spans="1:5" x14ac:dyDescent="0.25">
      <c r="A13">
        <v>4.8</v>
      </c>
      <c r="B13">
        <v>1.6</v>
      </c>
      <c r="C13" t="s">
        <v>6</v>
      </c>
      <c r="D13">
        <f t="shared" si="0"/>
        <v>1</v>
      </c>
      <c r="E13">
        <f t="shared" si="1"/>
        <v>3</v>
      </c>
    </row>
    <row r="14" spans="1:5" x14ac:dyDescent="0.25">
      <c r="A14">
        <v>4.8</v>
      </c>
      <c r="B14">
        <v>1.4</v>
      </c>
      <c r="C14" t="s">
        <v>6</v>
      </c>
      <c r="D14">
        <f t="shared" si="0"/>
        <v>1</v>
      </c>
      <c r="E14">
        <f t="shared" si="1"/>
        <v>3</v>
      </c>
    </row>
    <row r="15" spans="1:5" x14ac:dyDescent="0.25">
      <c r="A15">
        <v>4.3</v>
      </c>
      <c r="B15">
        <v>1.1000000000000001</v>
      </c>
      <c r="C15" t="s">
        <v>6</v>
      </c>
      <c r="D15">
        <f t="shared" si="0"/>
        <v>1</v>
      </c>
      <c r="E15">
        <f t="shared" si="1"/>
        <v>3</v>
      </c>
    </row>
    <row r="16" spans="1:5" x14ac:dyDescent="0.25">
      <c r="A16">
        <v>5.8</v>
      </c>
      <c r="B16">
        <v>1.2</v>
      </c>
      <c r="C16" t="s">
        <v>6</v>
      </c>
      <c r="D16">
        <f t="shared" si="0"/>
        <v>1</v>
      </c>
      <c r="E16">
        <f t="shared" si="1"/>
        <v>3</v>
      </c>
    </row>
    <row r="17" spans="1:5" x14ac:dyDescent="0.25">
      <c r="A17">
        <v>5.7</v>
      </c>
      <c r="B17">
        <v>1.5</v>
      </c>
      <c r="C17" t="s">
        <v>6</v>
      </c>
      <c r="D17">
        <f t="shared" si="0"/>
        <v>1</v>
      </c>
      <c r="E17">
        <f t="shared" si="1"/>
        <v>3</v>
      </c>
    </row>
    <row r="18" spans="1:5" x14ac:dyDescent="0.25">
      <c r="A18">
        <v>5.4</v>
      </c>
      <c r="B18">
        <v>1.3</v>
      </c>
      <c r="C18" t="s">
        <v>6</v>
      </c>
      <c r="D18">
        <f t="shared" si="0"/>
        <v>1</v>
      </c>
      <c r="E18">
        <f t="shared" si="1"/>
        <v>3</v>
      </c>
    </row>
    <row r="19" spans="1:5" x14ac:dyDescent="0.25">
      <c r="A19">
        <v>5.0999999999999996</v>
      </c>
      <c r="B19">
        <v>1.4</v>
      </c>
      <c r="C19" t="s">
        <v>6</v>
      </c>
      <c r="D19">
        <f t="shared" si="0"/>
        <v>1</v>
      </c>
      <c r="E19">
        <f t="shared" si="1"/>
        <v>3</v>
      </c>
    </row>
    <row r="20" spans="1:5" x14ac:dyDescent="0.25">
      <c r="A20">
        <v>5.7</v>
      </c>
      <c r="B20">
        <v>1.7</v>
      </c>
      <c r="C20" t="s">
        <v>6</v>
      </c>
      <c r="D20">
        <f t="shared" si="0"/>
        <v>1</v>
      </c>
      <c r="E20">
        <f t="shared" si="1"/>
        <v>3</v>
      </c>
    </row>
    <row r="21" spans="1:5" x14ac:dyDescent="0.25">
      <c r="A21">
        <v>5.0999999999999996</v>
      </c>
      <c r="B21">
        <v>1.5</v>
      </c>
      <c r="C21" t="s">
        <v>6</v>
      </c>
      <c r="D21">
        <f t="shared" si="0"/>
        <v>1</v>
      </c>
      <c r="E21">
        <f t="shared" si="1"/>
        <v>3</v>
      </c>
    </row>
    <row r="22" spans="1:5" x14ac:dyDescent="0.25">
      <c r="A22">
        <v>5.4</v>
      </c>
      <c r="B22">
        <v>1.7</v>
      </c>
      <c r="C22" t="s">
        <v>6</v>
      </c>
      <c r="D22">
        <f t="shared" si="0"/>
        <v>1</v>
      </c>
      <c r="E22">
        <f t="shared" si="1"/>
        <v>3</v>
      </c>
    </row>
    <row r="23" spans="1:5" x14ac:dyDescent="0.25">
      <c r="A23">
        <v>5.0999999999999996</v>
      </c>
      <c r="B23">
        <v>1.5</v>
      </c>
      <c r="C23" t="s">
        <v>6</v>
      </c>
      <c r="D23">
        <f t="shared" si="0"/>
        <v>1</v>
      </c>
      <c r="E23">
        <f t="shared" si="1"/>
        <v>3</v>
      </c>
    </row>
    <row r="24" spans="1:5" x14ac:dyDescent="0.25">
      <c r="A24">
        <v>4.5999999999999996</v>
      </c>
      <c r="B24">
        <v>1</v>
      </c>
      <c r="C24" t="s">
        <v>6</v>
      </c>
      <c r="D24">
        <f t="shared" si="0"/>
        <v>1</v>
      </c>
      <c r="E24">
        <f t="shared" si="1"/>
        <v>3</v>
      </c>
    </row>
    <row r="25" spans="1:5" x14ac:dyDescent="0.25">
      <c r="A25">
        <v>5.0999999999999996</v>
      </c>
      <c r="B25">
        <v>1.7</v>
      </c>
      <c r="C25" t="s">
        <v>6</v>
      </c>
      <c r="D25">
        <f t="shared" si="0"/>
        <v>1</v>
      </c>
      <c r="E25">
        <f t="shared" si="1"/>
        <v>3</v>
      </c>
    </row>
    <row r="26" spans="1:5" x14ac:dyDescent="0.25">
      <c r="A26">
        <v>4.8</v>
      </c>
      <c r="B26">
        <v>1.9</v>
      </c>
      <c r="C26" t="s">
        <v>6</v>
      </c>
      <c r="D26">
        <f t="shared" si="0"/>
        <v>1</v>
      </c>
      <c r="E26">
        <f t="shared" si="1"/>
        <v>3</v>
      </c>
    </row>
    <row r="27" spans="1:5" x14ac:dyDescent="0.25">
      <c r="A27">
        <v>5</v>
      </c>
      <c r="B27">
        <v>1.6</v>
      </c>
      <c r="C27" t="s">
        <v>6</v>
      </c>
      <c r="D27">
        <f t="shared" si="0"/>
        <v>1</v>
      </c>
      <c r="E27">
        <f t="shared" si="1"/>
        <v>3</v>
      </c>
    </row>
    <row r="28" spans="1:5" x14ac:dyDescent="0.25">
      <c r="A28">
        <v>5</v>
      </c>
      <c r="B28">
        <v>1.6</v>
      </c>
      <c r="C28" t="s">
        <v>6</v>
      </c>
      <c r="D28">
        <f t="shared" si="0"/>
        <v>1</v>
      </c>
      <c r="E28">
        <f t="shared" si="1"/>
        <v>3</v>
      </c>
    </row>
    <row r="29" spans="1:5" x14ac:dyDescent="0.25">
      <c r="A29">
        <v>5.2</v>
      </c>
      <c r="B29">
        <v>1.5</v>
      </c>
      <c r="C29" t="s">
        <v>6</v>
      </c>
      <c r="D29">
        <f t="shared" si="0"/>
        <v>1</v>
      </c>
      <c r="E29">
        <f t="shared" si="1"/>
        <v>3</v>
      </c>
    </row>
    <row r="30" spans="1:5" x14ac:dyDescent="0.25">
      <c r="A30">
        <v>5.2</v>
      </c>
      <c r="B30">
        <v>1.4</v>
      </c>
      <c r="C30" t="s">
        <v>6</v>
      </c>
      <c r="D30">
        <f t="shared" si="0"/>
        <v>1</v>
      </c>
      <c r="E30">
        <f t="shared" si="1"/>
        <v>3</v>
      </c>
    </row>
    <row r="31" spans="1:5" x14ac:dyDescent="0.25">
      <c r="A31">
        <v>4.7</v>
      </c>
      <c r="B31">
        <v>1.6</v>
      </c>
      <c r="C31" t="s">
        <v>6</v>
      </c>
      <c r="D31">
        <f t="shared" si="0"/>
        <v>1</v>
      </c>
      <c r="E31">
        <f t="shared" si="1"/>
        <v>3</v>
      </c>
    </row>
    <row r="32" spans="1:5" x14ac:dyDescent="0.25">
      <c r="A32">
        <v>4.8</v>
      </c>
      <c r="B32">
        <v>1.6</v>
      </c>
      <c r="C32" t="s">
        <v>6</v>
      </c>
      <c r="D32">
        <f t="shared" si="0"/>
        <v>1</v>
      </c>
      <c r="E32">
        <f t="shared" si="1"/>
        <v>3</v>
      </c>
    </row>
    <row r="33" spans="1:5" x14ac:dyDescent="0.25">
      <c r="A33">
        <v>5.4</v>
      </c>
      <c r="B33">
        <v>1.5</v>
      </c>
      <c r="C33" t="s">
        <v>6</v>
      </c>
      <c r="D33">
        <f t="shared" si="0"/>
        <v>1</v>
      </c>
      <c r="E33">
        <f t="shared" si="1"/>
        <v>3</v>
      </c>
    </row>
    <row r="34" spans="1:5" x14ac:dyDescent="0.25">
      <c r="A34">
        <v>5.2</v>
      </c>
      <c r="B34">
        <v>1.5</v>
      </c>
      <c r="C34" t="s">
        <v>6</v>
      </c>
      <c r="D34">
        <f t="shared" si="0"/>
        <v>1</v>
      </c>
      <c r="E34">
        <f t="shared" si="1"/>
        <v>3</v>
      </c>
    </row>
    <row r="35" spans="1:5" x14ac:dyDescent="0.25">
      <c r="A35">
        <v>5.5</v>
      </c>
      <c r="B35">
        <v>1.4</v>
      </c>
      <c r="C35" t="s">
        <v>6</v>
      </c>
      <c r="D35">
        <f t="shared" si="0"/>
        <v>1</v>
      </c>
      <c r="E35">
        <f t="shared" si="1"/>
        <v>3</v>
      </c>
    </row>
    <row r="36" spans="1:5" x14ac:dyDescent="0.25">
      <c r="A36">
        <v>4.9000000000000004</v>
      </c>
      <c r="B36">
        <v>1.5</v>
      </c>
      <c r="C36" t="s">
        <v>6</v>
      </c>
      <c r="D36">
        <f t="shared" si="0"/>
        <v>1</v>
      </c>
      <c r="E36">
        <f t="shared" si="1"/>
        <v>3</v>
      </c>
    </row>
    <row r="37" spans="1:5" x14ac:dyDescent="0.25">
      <c r="A37">
        <v>5</v>
      </c>
      <c r="B37">
        <v>1.2</v>
      </c>
      <c r="C37" t="s">
        <v>6</v>
      </c>
      <c r="D37">
        <f t="shared" si="0"/>
        <v>1</v>
      </c>
      <c r="E37">
        <f t="shared" si="1"/>
        <v>3</v>
      </c>
    </row>
    <row r="38" spans="1:5" x14ac:dyDescent="0.25">
      <c r="A38">
        <v>5.5</v>
      </c>
      <c r="B38">
        <v>1.3</v>
      </c>
      <c r="C38" t="s">
        <v>6</v>
      </c>
      <c r="D38">
        <f t="shared" si="0"/>
        <v>1</v>
      </c>
      <c r="E38">
        <f t="shared" si="1"/>
        <v>3</v>
      </c>
    </row>
    <row r="39" spans="1:5" x14ac:dyDescent="0.25">
      <c r="A39">
        <v>4.9000000000000004</v>
      </c>
      <c r="B39">
        <v>1.5</v>
      </c>
      <c r="C39" t="s">
        <v>6</v>
      </c>
      <c r="D39">
        <f t="shared" si="0"/>
        <v>1</v>
      </c>
      <c r="E39">
        <f t="shared" si="1"/>
        <v>3</v>
      </c>
    </row>
    <row r="40" spans="1:5" x14ac:dyDescent="0.25">
      <c r="A40">
        <v>4.4000000000000004</v>
      </c>
      <c r="B40">
        <v>1.3</v>
      </c>
      <c r="C40" t="s">
        <v>6</v>
      </c>
      <c r="D40">
        <f t="shared" si="0"/>
        <v>1</v>
      </c>
      <c r="E40">
        <f t="shared" si="1"/>
        <v>3</v>
      </c>
    </row>
    <row r="41" spans="1:5" x14ac:dyDescent="0.25">
      <c r="A41">
        <v>5.0999999999999996</v>
      </c>
      <c r="B41">
        <v>1.5</v>
      </c>
      <c r="C41" t="s">
        <v>6</v>
      </c>
      <c r="D41">
        <f t="shared" si="0"/>
        <v>1</v>
      </c>
      <c r="E41">
        <f t="shared" si="1"/>
        <v>3</v>
      </c>
    </row>
    <row r="42" spans="1:5" x14ac:dyDescent="0.25">
      <c r="A42">
        <v>5</v>
      </c>
      <c r="B42">
        <v>1.3</v>
      </c>
      <c r="C42" t="s">
        <v>6</v>
      </c>
      <c r="D42">
        <f t="shared" si="0"/>
        <v>1</v>
      </c>
      <c r="E42">
        <f t="shared" si="1"/>
        <v>3</v>
      </c>
    </row>
    <row r="43" spans="1:5" x14ac:dyDescent="0.25">
      <c r="A43">
        <v>4.5</v>
      </c>
      <c r="B43">
        <v>1.3</v>
      </c>
      <c r="C43" t="s">
        <v>6</v>
      </c>
      <c r="D43">
        <f t="shared" si="0"/>
        <v>1</v>
      </c>
      <c r="E43">
        <f t="shared" si="1"/>
        <v>3</v>
      </c>
    </row>
    <row r="44" spans="1:5" x14ac:dyDescent="0.25">
      <c r="A44">
        <v>4.4000000000000004</v>
      </c>
      <c r="B44">
        <v>1.3</v>
      </c>
      <c r="C44" t="s">
        <v>6</v>
      </c>
      <c r="D44">
        <f t="shared" si="0"/>
        <v>1</v>
      </c>
      <c r="E44">
        <f t="shared" si="1"/>
        <v>3</v>
      </c>
    </row>
    <row r="45" spans="1:5" x14ac:dyDescent="0.25">
      <c r="A45">
        <v>5</v>
      </c>
      <c r="B45">
        <v>1.6</v>
      </c>
      <c r="C45" t="s">
        <v>6</v>
      </c>
      <c r="D45">
        <f t="shared" si="0"/>
        <v>1</v>
      </c>
      <c r="E45">
        <f t="shared" si="1"/>
        <v>3</v>
      </c>
    </row>
    <row r="46" spans="1:5" x14ac:dyDescent="0.25">
      <c r="A46">
        <v>5.0999999999999996</v>
      </c>
      <c r="B46">
        <v>1.9</v>
      </c>
      <c r="C46" t="s">
        <v>6</v>
      </c>
      <c r="D46">
        <f t="shared" si="0"/>
        <v>1</v>
      </c>
      <c r="E46">
        <f t="shared" si="1"/>
        <v>3</v>
      </c>
    </row>
    <row r="47" spans="1:5" x14ac:dyDescent="0.25">
      <c r="A47">
        <v>4.8</v>
      </c>
      <c r="B47">
        <v>1.4</v>
      </c>
      <c r="C47" t="s">
        <v>6</v>
      </c>
      <c r="D47">
        <f t="shared" si="0"/>
        <v>1</v>
      </c>
      <c r="E47">
        <f t="shared" si="1"/>
        <v>3</v>
      </c>
    </row>
    <row r="48" spans="1:5" x14ac:dyDescent="0.25">
      <c r="A48">
        <v>5.0999999999999996</v>
      </c>
      <c r="B48">
        <v>1.6</v>
      </c>
      <c r="C48" t="s">
        <v>6</v>
      </c>
      <c r="D48">
        <f t="shared" si="0"/>
        <v>1</v>
      </c>
      <c r="E48">
        <f t="shared" si="1"/>
        <v>3</v>
      </c>
    </row>
    <row r="49" spans="1:5" x14ac:dyDescent="0.25">
      <c r="A49">
        <v>4.5999999999999996</v>
      </c>
      <c r="B49">
        <v>1.4</v>
      </c>
      <c r="C49" t="s">
        <v>6</v>
      </c>
      <c r="D49">
        <f t="shared" si="0"/>
        <v>1</v>
      </c>
      <c r="E49">
        <f t="shared" si="1"/>
        <v>3</v>
      </c>
    </row>
    <row r="50" spans="1:5" x14ac:dyDescent="0.25">
      <c r="A50">
        <v>5.3</v>
      </c>
      <c r="B50">
        <v>1.5</v>
      </c>
      <c r="C50" t="s">
        <v>6</v>
      </c>
      <c r="D50">
        <f t="shared" si="0"/>
        <v>1</v>
      </c>
      <c r="E50">
        <f t="shared" si="1"/>
        <v>3</v>
      </c>
    </row>
    <row r="51" spans="1:5" x14ac:dyDescent="0.25">
      <c r="A51">
        <v>5</v>
      </c>
      <c r="B51">
        <v>1.4</v>
      </c>
      <c r="C51" t="s">
        <v>6</v>
      </c>
      <c r="D51">
        <f t="shared" si="0"/>
        <v>1</v>
      </c>
      <c r="E51">
        <f t="shared" si="1"/>
        <v>3</v>
      </c>
    </row>
    <row r="52" spans="1:5" x14ac:dyDescent="0.25">
      <c r="A52">
        <v>7</v>
      </c>
      <c r="B52">
        <v>4.7</v>
      </c>
      <c r="C52" t="s">
        <v>7</v>
      </c>
      <c r="D52">
        <f t="shared" si="0"/>
        <v>2</v>
      </c>
      <c r="E52">
        <f t="shared" si="1"/>
        <v>4</v>
      </c>
    </row>
    <row r="53" spans="1:5" x14ac:dyDescent="0.25">
      <c r="A53">
        <v>6.4</v>
      </c>
      <c r="B53">
        <v>4.5</v>
      </c>
      <c r="C53" t="s">
        <v>7</v>
      </c>
      <c r="D53">
        <f t="shared" si="0"/>
        <v>2</v>
      </c>
      <c r="E53">
        <f t="shared" si="1"/>
        <v>4</v>
      </c>
    </row>
    <row r="54" spans="1:5" x14ac:dyDescent="0.25">
      <c r="A54">
        <v>6.9</v>
      </c>
      <c r="B54">
        <v>4.9000000000000004</v>
      </c>
      <c r="C54" t="s">
        <v>7</v>
      </c>
      <c r="D54">
        <f t="shared" si="0"/>
        <v>2</v>
      </c>
      <c r="E54">
        <f t="shared" si="1"/>
        <v>4</v>
      </c>
    </row>
    <row r="55" spans="1:5" x14ac:dyDescent="0.25">
      <c r="A55">
        <v>5.5</v>
      </c>
      <c r="B55">
        <v>4</v>
      </c>
      <c r="C55" t="s">
        <v>7</v>
      </c>
      <c r="D55">
        <f t="shared" si="0"/>
        <v>2</v>
      </c>
      <c r="E55">
        <f t="shared" si="1"/>
        <v>4</v>
      </c>
    </row>
    <row r="56" spans="1:5" x14ac:dyDescent="0.25">
      <c r="A56">
        <v>6.5</v>
      </c>
      <c r="B56">
        <v>4.5999999999999996</v>
      </c>
      <c r="C56" t="s">
        <v>7</v>
      </c>
      <c r="D56">
        <f t="shared" si="0"/>
        <v>2</v>
      </c>
      <c r="E56">
        <f t="shared" si="1"/>
        <v>4</v>
      </c>
    </row>
    <row r="57" spans="1:5" x14ac:dyDescent="0.25">
      <c r="A57">
        <v>5.7</v>
      </c>
      <c r="B57">
        <v>4.5</v>
      </c>
      <c r="C57" t="s">
        <v>7</v>
      </c>
      <c r="D57">
        <f t="shared" si="0"/>
        <v>2</v>
      </c>
      <c r="E57">
        <f t="shared" si="1"/>
        <v>4</v>
      </c>
    </row>
    <row r="58" spans="1:5" x14ac:dyDescent="0.25">
      <c r="A58">
        <v>6.3</v>
      </c>
      <c r="B58">
        <v>4.7</v>
      </c>
      <c r="C58" t="s">
        <v>7</v>
      </c>
      <c r="D58">
        <f t="shared" si="0"/>
        <v>2</v>
      </c>
      <c r="E58">
        <f t="shared" si="1"/>
        <v>4</v>
      </c>
    </row>
    <row r="59" spans="1:5" x14ac:dyDescent="0.25">
      <c r="A59">
        <v>4.9000000000000004</v>
      </c>
      <c r="B59">
        <v>3.3</v>
      </c>
      <c r="C59" t="s">
        <v>7</v>
      </c>
      <c r="D59">
        <f t="shared" si="0"/>
        <v>2</v>
      </c>
      <c r="E59">
        <f t="shared" si="1"/>
        <v>4</v>
      </c>
    </row>
    <row r="60" spans="1:5" x14ac:dyDescent="0.25">
      <c r="A60">
        <v>6.6</v>
      </c>
      <c r="B60">
        <v>4.5999999999999996</v>
      </c>
      <c r="C60" t="s">
        <v>7</v>
      </c>
      <c r="D60">
        <f t="shared" si="0"/>
        <v>2</v>
      </c>
      <c r="E60">
        <f t="shared" si="1"/>
        <v>4</v>
      </c>
    </row>
    <row r="61" spans="1:5" x14ac:dyDescent="0.25">
      <c r="A61">
        <v>5.2</v>
      </c>
      <c r="B61">
        <v>3.9</v>
      </c>
      <c r="C61" t="s">
        <v>7</v>
      </c>
      <c r="D61">
        <f t="shared" si="0"/>
        <v>2</v>
      </c>
      <c r="E61">
        <f t="shared" si="1"/>
        <v>4</v>
      </c>
    </row>
    <row r="62" spans="1:5" x14ac:dyDescent="0.25">
      <c r="A62">
        <v>5</v>
      </c>
      <c r="B62">
        <v>3.5</v>
      </c>
      <c r="C62" t="s">
        <v>7</v>
      </c>
      <c r="D62">
        <f t="shared" si="0"/>
        <v>2</v>
      </c>
      <c r="E62">
        <f t="shared" si="1"/>
        <v>4</v>
      </c>
    </row>
    <row r="63" spans="1:5" x14ac:dyDescent="0.25">
      <c r="A63">
        <v>5.9</v>
      </c>
      <c r="B63">
        <v>4.2</v>
      </c>
      <c r="C63" t="s">
        <v>7</v>
      </c>
      <c r="D63">
        <f t="shared" si="0"/>
        <v>2</v>
      </c>
      <c r="E63">
        <f t="shared" si="1"/>
        <v>4</v>
      </c>
    </row>
    <row r="64" spans="1:5" x14ac:dyDescent="0.25">
      <c r="A64">
        <v>6</v>
      </c>
      <c r="B64">
        <v>4</v>
      </c>
      <c r="C64" t="s">
        <v>7</v>
      </c>
      <c r="D64">
        <f t="shared" si="0"/>
        <v>2</v>
      </c>
      <c r="E64">
        <f t="shared" si="1"/>
        <v>4</v>
      </c>
    </row>
    <row r="65" spans="1:5" x14ac:dyDescent="0.25">
      <c r="A65">
        <v>6.1</v>
      </c>
      <c r="B65">
        <v>4.7</v>
      </c>
      <c r="C65" t="s">
        <v>7</v>
      </c>
      <c r="D65">
        <f t="shared" si="0"/>
        <v>2</v>
      </c>
      <c r="E65">
        <f t="shared" si="1"/>
        <v>4</v>
      </c>
    </row>
    <row r="66" spans="1:5" x14ac:dyDescent="0.25">
      <c r="A66">
        <v>5.6</v>
      </c>
      <c r="B66">
        <v>3.6</v>
      </c>
      <c r="C66" t="s">
        <v>7</v>
      </c>
      <c r="D66">
        <f t="shared" si="0"/>
        <v>2</v>
      </c>
      <c r="E66">
        <f t="shared" si="1"/>
        <v>4</v>
      </c>
    </row>
    <row r="67" spans="1:5" x14ac:dyDescent="0.25">
      <c r="A67">
        <v>6.7</v>
      </c>
      <c r="B67">
        <v>4.4000000000000004</v>
      </c>
      <c r="C67" t="s">
        <v>7</v>
      </c>
      <c r="D67">
        <f t="shared" ref="D67:D130" si="2">IF(C67="Iris-setosa",1,IF(C67="Iris-versicolor",2,3))</f>
        <v>2</v>
      </c>
      <c r="E67">
        <f t="shared" ref="E67:E130" si="3">IF(C67="Iris-setosa",3,IF(C67="Iris-versicolor",4,5))</f>
        <v>4</v>
      </c>
    </row>
    <row r="68" spans="1:5" x14ac:dyDescent="0.25">
      <c r="A68">
        <v>5.6</v>
      </c>
      <c r="B68">
        <v>4.5</v>
      </c>
      <c r="C68" t="s">
        <v>7</v>
      </c>
      <c r="D68">
        <f t="shared" si="2"/>
        <v>2</v>
      </c>
      <c r="E68">
        <f t="shared" si="3"/>
        <v>4</v>
      </c>
    </row>
    <row r="69" spans="1:5" x14ac:dyDescent="0.25">
      <c r="A69">
        <v>5.8</v>
      </c>
      <c r="B69">
        <v>4.0999999999999996</v>
      </c>
      <c r="C69" t="s">
        <v>7</v>
      </c>
      <c r="D69">
        <f t="shared" si="2"/>
        <v>2</v>
      </c>
      <c r="E69">
        <f t="shared" si="3"/>
        <v>4</v>
      </c>
    </row>
    <row r="70" spans="1:5" x14ac:dyDescent="0.25">
      <c r="A70">
        <v>6.2</v>
      </c>
      <c r="B70">
        <v>4.5</v>
      </c>
      <c r="C70" t="s">
        <v>7</v>
      </c>
      <c r="D70">
        <f t="shared" si="2"/>
        <v>2</v>
      </c>
      <c r="E70">
        <f t="shared" si="3"/>
        <v>4</v>
      </c>
    </row>
    <row r="71" spans="1:5" x14ac:dyDescent="0.25">
      <c r="A71">
        <v>5.6</v>
      </c>
      <c r="B71">
        <v>3.9</v>
      </c>
      <c r="C71" t="s">
        <v>7</v>
      </c>
      <c r="D71">
        <f t="shared" si="2"/>
        <v>2</v>
      </c>
      <c r="E71">
        <f t="shared" si="3"/>
        <v>4</v>
      </c>
    </row>
    <row r="72" spans="1:5" x14ac:dyDescent="0.25">
      <c r="A72">
        <v>5.9</v>
      </c>
      <c r="B72">
        <v>4.8</v>
      </c>
      <c r="C72" t="s">
        <v>7</v>
      </c>
      <c r="D72">
        <f t="shared" si="2"/>
        <v>2</v>
      </c>
      <c r="E72">
        <f t="shared" si="3"/>
        <v>4</v>
      </c>
    </row>
    <row r="73" spans="1:5" x14ac:dyDescent="0.25">
      <c r="A73">
        <v>6.1</v>
      </c>
      <c r="B73">
        <v>4</v>
      </c>
      <c r="C73" t="s">
        <v>7</v>
      </c>
      <c r="D73">
        <f t="shared" si="2"/>
        <v>2</v>
      </c>
      <c r="E73">
        <f t="shared" si="3"/>
        <v>4</v>
      </c>
    </row>
    <row r="74" spans="1:5" x14ac:dyDescent="0.25">
      <c r="A74">
        <v>6.3</v>
      </c>
      <c r="B74">
        <v>4.9000000000000004</v>
      </c>
      <c r="C74" t="s">
        <v>7</v>
      </c>
      <c r="D74">
        <f t="shared" si="2"/>
        <v>2</v>
      </c>
      <c r="E74">
        <f t="shared" si="3"/>
        <v>4</v>
      </c>
    </row>
    <row r="75" spans="1:5" x14ac:dyDescent="0.25">
      <c r="A75">
        <v>6.1</v>
      </c>
      <c r="B75">
        <v>4.7</v>
      </c>
      <c r="C75" t="s">
        <v>7</v>
      </c>
      <c r="D75">
        <f t="shared" si="2"/>
        <v>2</v>
      </c>
      <c r="E75">
        <f t="shared" si="3"/>
        <v>4</v>
      </c>
    </row>
    <row r="76" spans="1:5" x14ac:dyDescent="0.25">
      <c r="A76">
        <v>6.4</v>
      </c>
      <c r="B76">
        <v>4.3</v>
      </c>
      <c r="C76" t="s">
        <v>7</v>
      </c>
      <c r="D76">
        <f t="shared" si="2"/>
        <v>2</v>
      </c>
      <c r="E76">
        <f t="shared" si="3"/>
        <v>4</v>
      </c>
    </row>
    <row r="77" spans="1:5" x14ac:dyDescent="0.25">
      <c r="A77">
        <v>6.6</v>
      </c>
      <c r="B77">
        <v>4.4000000000000004</v>
      </c>
      <c r="C77" t="s">
        <v>7</v>
      </c>
      <c r="D77">
        <f t="shared" si="2"/>
        <v>2</v>
      </c>
      <c r="E77">
        <f t="shared" si="3"/>
        <v>4</v>
      </c>
    </row>
    <row r="78" spans="1:5" x14ac:dyDescent="0.25">
      <c r="A78">
        <v>6.8</v>
      </c>
      <c r="B78">
        <v>4.8</v>
      </c>
      <c r="C78" t="s">
        <v>7</v>
      </c>
      <c r="D78">
        <f t="shared" si="2"/>
        <v>2</v>
      </c>
      <c r="E78">
        <f t="shared" si="3"/>
        <v>4</v>
      </c>
    </row>
    <row r="79" spans="1:5" x14ac:dyDescent="0.25">
      <c r="A79">
        <v>6.7</v>
      </c>
      <c r="B79">
        <v>5</v>
      </c>
      <c r="C79" t="s">
        <v>7</v>
      </c>
      <c r="D79">
        <f t="shared" si="2"/>
        <v>2</v>
      </c>
      <c r="E79">
        <f t="shared" si="3"/>
        <v>4</v>
      </c>
    </row>
    <row r="80" spans="1:5" x14ac:dyDescent="0.25">
      <c r="A80">
        <v>6</v>
      </c>
      <c r="B80">
        <v>4.5</v>
      </c>
      <c r="C80" t="s">
        <v>7</v>
      </c>
      <c r="D80">
        <f t="shared" si="2"/>
        <v>2</v>
      </c>
      <c r="E80">
        <f t="shared" si="3"/>
        <v>4</v>
      </c>
    </row>
    <row r="81" spans="1:5" x14ac:dyDescent="0.25">
      <c r="A81">
        <v>5.7</v>
      </c>
      <c r="B81">
        <v>3.5</v>
      </c>
      <c r="C81" t="s">
        <v>7</v>
      </c>
      <c r="D81">
        <f t="shared" si="2"/>
        <v>2</v>
      </c>
      <c r="E81">
        <f t="shared" si="3"/>
        <v>4</v>
      </c>
    </row>
    <row r="82" spans="1:5" x14ac:dyDescent="0.25">
      <c r="A82">
        <v>5.5</v>
      </c>
      <c r="B82">
        <v>3.8</v>
      </c>
      <c r="C82" t="s">
        <v>7</v>
      </c>
      <c r="D82">
        <f t="shared" si="2"/>
        <v>2</v>
      </c>
      <c r="E82">
        <f t="shared" si="3"/>
        <v>4</v>
      </c>
    </row>
    <row r="83" spans="1:5" x14ac:dyDescent="0.25">
      <c r="A83">
        <v>5.5</v>
      </c>
      <c r="B83">
        <v>3.7</v>
      </c>
      <c r="C83" t="s">
        <v>7</v>
      </c>
      <c r="D83">
        <f t="shared" si="2"/>
        <v>2</v>
      </c>
      <c r="E83">
        <f t="shared" si="3"/>
        <v>4</v>
      </c>
    </row>
    <row r="84" spans="1:5" x14ac:dyDescent="0.25">
      <c r="A84">
        <v>5.8</v>
      </c>
      <c r="B84">
        <v>3.9</v>
      </c>
      <c r="C84" t="s">
        <v>7</v>
      </c>
      <c r="D84">
        <f t="shared" si="2"/>
        <v>2</v>
      </c>
      <c r="E84">
        <f t="shared" si="3"/>
        <v>4</v>
      </c>
    </row>
    <row r="85" spans="1:5" x14ac:dyDescent="0.25">
      <c r="A85">
        <v>6</v>
      </c>
      <c r="B85">
        <v>5.0999999999999996</v>
      </c>
      <c r="C85" t="s">
        <v>7</v>
      </c>
      <c r="D85">
        <f t="shared" si="2"/>
        <v>2</v>
      </c>
      <c r="E85">
        <f t="shared" si="3"/>
        <v>4</v>
      </c>
    </row>
    <row r="86" spans="1:5" x14ac:dyDescent="0.25">
      <c r="A86">
        <v>5.4</v>
      </c>
      <c r="B86">
        <v>4.5</v>
      </c>
      <c r="C86" t="s">
        <v>7</v>
      </c>
      <c r="D86">
        <f t="shared" si="2"/>
        <v>2</v>
      </c>
      <c r="E86">
        <f t="shared" si="3"/>
        <v>4</v>
      </c>
    </row>
    <row r="87" spans="1:5" x14ac:dyDescent="0.25">
      <c r="A87">
        <v>6</v>
      </c>
      <c r="B87">
        <v>4.5</v>
      </c>
      <c r="C87" t="s">
        <v>7</v>
      </c>
      <c r="D87">
        <f t="shared" si="2"/>
        <v>2</v>
      </c>
      <c r="E87">
        <f t="shared" si="3"/>
        <v>4</v>
      </c>
    </row>
    <row r="88" spans="1:5" x14ac:dyDescent="0.25">
      <c r="A88">
        <v>6.7</v>
      </c>
      <c r="B88">
        <v>4.7</v>
      </c>
      <c r="C88" t="s">
        <v>7</v>
      </c>
      <c r="D88">
        <f t="shared" si="2"/>
        <v>2</v>
      </c>
      <c r="E88">
        <f t="shared" si="3"/>
        <v>4</v>
      </c>
    </row>
    <row r="89" spans="1:5" x14ac:dyDescent="0.25">
      <c r="A89">
        <v>6.3</v>
      </c>
      <c r="B89">
        <v>4.4000000000000004</v>
      </c>
      <c r="C89" t="s">
        <v>7</v>
      </c>
      <c r="D89">
        <f t="shared" si="2"/>
        <v>2</v>
      </c>
      <c r="E89">
        <f t="shared" si="3"/>
        <v>4</v>
      </c>
    </row>
    <row r="90" spans="1:5" x14ac:dyDescent="0.25">
      <c r="A90">
        <v>5.6</v>
      </c>
      <c r="B90">
        <v>4.0999999999999996</v>
      </c>
      <c r="C90" t="s">
        <v>7</v>
      </c>
      <c r="D90">
        <f t="shared" si="2"/>
        <v>2</v>
      </c>
      <c r="E90">
        <f t="shared" si="3"/>
        <v>4</v>
      </c>
    </row>
    <row r="91" spans="1:5" x14ac:dyDescent="0.25">
      <c r="A91">
        <v>5.5</v>
      </c>
      <c r="B91">
        <v>4</v>
      </c>
      <c r="C91" t="s">
        <v>7</v>
      </c>
      <c r="D91">
        <f t="shared" si="2"/>
        <v>2</v>
      </c>
      <c r="E91">
        <f t="shared" si="3"/>
        <v>4</v>
      </c>
    </row>
    <row r="92" spans="1:5" x14ac:dyDescent="0.25">
      <c r="A92">
        <v>5.5</v>
      </c>
      <c r="B92">
        <v>4.4000000000000004</v>
      </c>
      <c r="C92" t="s">
        <v>7</v>
      </c>
      <c r="D92">
        <f t="shared" si="2"/>
        <v>2</v>
      </c>
      <c r="E92">
        <f t="shared" si="3"/>
        <v>4</v>
      </c>
    </row>
    <row r="93" spans="1:5" x14ac:dyDescent="0.25">
      <c r="A93">
        <v>6.1</v>
      </c>
      <c r="B93">
        <v>4.5999999999999996</v>
      </c>
      <c r="C93" t="s">
        <v>7</v>
      </c>
      <c r="D93">
        <f t="shared" si="2"/>
        <v>2</v>
      </c>
      <c r="E93">
        <f t="shared" si="3"/>
        <v>4</v>
      </c>
    </row>
    <row r="94" spans="1:5" x14ac:dyDescent="0.25">
      <c r="A94">
        <v>5.8</v>
      </c>
      <c r="B94">
        <v>4</v>
      </c>
      <c r="C94" t="s">
        <v>7</v>
      </c>
      <c r="D94">
        <f t="shared" si="2"/>
        <v>2</v>
      </c>
      <c r="E94">
        <f t="shared" si="3"/>
        <v>4</v>
      </c>
    </row>
    <row r="95" spans="1:5" x14ac:dyDescent="0.25">
      <c r="A95">
        <v>5</v>
      </c>
      <c r="B95">
        <v>3.3</v>
      </c>
      <c r="C95" t="s">
        <v>7</v>
      </c>
      <c r="D95">
        <f t="shared" si="2"/>
        <v>2</v>
      </c>
      <c r="E95">
        <f t="shared" si="3"/>
        <v>4</v>
      </c>
    </row>
    <row r="96" spans="1:5" x14ac:dyDescent="0.25">
      <c r="A96">
        <v>5.6</v>
      </c>
      <c r="B96">
        <v>4.2</v>
      </c>
      <c r="C96" t="s">
        <v>7</v>
      </c>
      <c r="D96">
        <f t="shared" si="2"/>
        <v>2</v>
      </c>
      <c r="E96">
        <f t="shared" si="3"/>
        <v>4</v>
      </c>
    </row>
    <row r="97" spans="1:5" x14ac:dyDescent="0.25">
      <c r="A97">
        <v>5.7</v>
      </c>
      <c r="B97">
        <v>4.2</v>
      </c>
      <c r="C97" t="s">
        <v>7</v>
      </c>
      <c r="D97">
        <f t="shared" si="2"/>
        <v>2</v>
      </c>
      <c r="E97">
        <f t="shared" si="3"/>
        <v>4</v>
      </c>
    </row>
    <row r="98" spans="1:5" x14ac:dyDescent="0.25">
      <c r="A98">
        <v>5.7</v>
      </c>
      <c r="B98">
        <v>4.2</v>
      </c>
      <c r="C98" t="s">
        <v>7</v>
      </c>
      <c r="D98">
        <f t="shared" si="2"/>
        <v>2</v>
      </c>
      <c r="E98">
        <f t="shared" si="3"/>
        <v>4</v>
      </c>
    </row>
    <row r="99" spans="1:5" x14ac:dyDescent="0.25">
      <c r="A99">
        <v>6.2</v>
      </c>
      <c r="B99">
        <v>4.3</v>
      </c>
      <c r="C99" t="s">
        <v>7</v>
      </c>
      <c r="D99">
        <f t="shared" si="2"/>
        <v>2</v>
      </c>
      <c r="E99">
        <f t="shared" si="3"/>
        <v>4</v>
      </c>
    </row>
    <row r="100" spans="1:5" x14ac:dyDescent="0.25">
      <c r="A100">
        <v>5.0999999999999996</v>
      </c>
      <c r="B100">
        <v>3</v>
      </c>
      <c r="C100" t="s">
        <v>7</v>
      </c>
      <c r="D100">
        <f t="shared" si="2"/>
        <v>2</v>
      </c>
      <c r="E100">
        <f t="shared" si="3"/>
        <v>4</v>
      </c>
    </row>
    <row r="101" spans="1:5" x14ac:dyDescent="0.25">
      <c r="A101">
        <v>5.7</v>
      </c>
      <c r="B101">
        <v>4.0999999999999996</v>
      </c>
      <c r="C101" t="s">
        <v>7</v>
      </c>
      <c r="D101">
        <f t="shared" si="2"/>
        <v>2</v>
      </c>
      <c r="E101">
        <f t="shared" si="3"/>
        <v>4</v>
      </c>
    </row>
    <row r="102" spans="1:5" x14ac:dyDescent="0.25">
      <c r="A102">
        <v>6.3</v>
      </c>
      <c r="B102">
        <v>6</v>
      </c>
      <c r="C102" t="s">
        <v>8</v>
      </c>
      <c r="D102">
        <f t="shared" si="2"/>
        <v>3</v>
      </c>
      <c r="E102">
        <f t="shared" si="3"/>
        <v>5</v>
      </c>
    </row>
    <row r="103" spans="1:5" x14ac:dyDescent="0.25">
      <c r="A103">
        <v>5.8</v>
      </c>
      <c r="B103">
        <v>5.0999999999999996</v>
      </c>
      <c r="C103" t="s">
        <v>8</v>
      </c>
      <c r="D103">
        <f t="shared" si="2"/>
        <v>3</v>
      </c>
      <c r="E103">
        <f t="shared" si="3"/>
        <v>5</v>
      </c>
    </row>
    <row r="104" spans="1:5" x14ac:dyDescent="0.25">
      <c r="A104">
        <v>7.1</v>
      </c>
      <c r="B104">
        <v>5.9</v>
      </c>
      <c r="C104" t="s">
        <v>8</v>
      </c>
      <c r="D104">
        <f t="shared" si="2"/>
        <v>3</v>
      </c>
      <c r="E104">
        <f t="shared" si="3"/>
        <v>5</v>
      </c>
    </row>
    <row r="105" spans="1:5" x14ac:dyDescent="0.25">
      <c r="A105">
        <v>6.3</v>
      </c>
      <c r="B105">
        <v>5.6</v>
      </c>
      <c r="C105" t="s">
        <v>8</v>
      </c>
      <c r="D105">
        <f t="shared" si="2"/>
        <v>3</v>
      </c>
      <c r="E105">
        <f t="shared" si="3"/>
        <v>5</v>
      </c>
    </row>
    <row r="106" spans="1:5" x14ac:dyDescent="0.25">
      <c r="A106">
        <v>6.5</v>
      </c>
      <c r="B106">
        <v>5.8</v>
      </c>
      <c r="C106" t="s">
        <v>8</v>
      </c>
      <c r="D106">
        <f t="shared" si="2"/>
        <v>3</v>
      </c>
      <c r="E106">
        <f t="shared" si="3"/>
        <v>5</v>
      </c>
    </row>
    <row r="107" spans="1:5" x14ac:dyDescent="0.25">
      <c r="A107">
        <v>7.6</v>
      </c>
      <c r="B107">
        <v>6.6</v>
      </c>
      <c r="C107" t="s">
        <v>8</v>
      </c>
      <c r="D107">
        <f t="shared" si="2"/>
        <v>3</v>
      </c>
      <c r="E107">
        <f t="shared" si="3"/>
        <v>5</v>
      </c>
    </row>
    <row r="108" spans="1:5" x14ac:dyDescent="0.25">
      <c r="A108">
        <v>4.9000000000000004</v>
      </c>
      <c r="B108">
        <v>4.5</v>
      </c>
      <c r="C108" t="s">
        <v>8</v>
      </c>
      <c r="D108">
        <f t="shared" si="2"/>
        <v>3</v>
      </c>
      <c r="E108">
        <f t="shared" si="3"/>
        <v>5</v>
      </c>
    </row>
    <row r="109" spans="1:5" x14ac:dyDescent="0.25">
      <c r="A109">
        <v>7.3</v>
      </c>
      <c r="B109">
        <v>6.3</v>
      </c>
      <c r="C109" t="s">
        <v>8</v>
      </c>
      <c r="D109">
        <f t="shared" si="2"/>
        <v>3</v>
      </c>
      <c r="E109">
        <f t="shared" si="3"/>
        <v>5</v>
      </c>
    </row>
    <row r="110" spans="1:5" x14ac:dyDescent="0.25">
      <c r="A110">
        <v>6.7</v>
      </c>
      <c r="B110">
        <v>5.8</v>
      </c>
      <c r="C110" t="s">
        <v>8</v>
      </c>
      <c r="D110">
        <f t="shared" si="2"/>
        <v>3</v>
      </c>
      <c r="E110">
        <f t="shared" si="3"/>
        <v>5</v>
      </c>
    </row>
    <row r="111" spans="1:5" x14ac:dyDescent="0.25">
      <c r="A111">
        <v>7.2</v>
      </c>
      <c r="B111">
        <v>6.1</v>
      </c>
      <c r="C111" t="s">
        <v>8</v>
      </c>
      <c r="D111">
        <f t="shared" si="2"/>
        <v>3</v>
      </c>
      <c r="E111">
        <f t="shared" si="3"/>
        <v>5</v>
      </c>
    </row>
    <row r="112" spans="1:5" x14ac:dyDescent="0.25">
      <c r="A112">
        <v>6.5</v>
      </c>
      <c r="B112">
        <v>5.0999999999999996</v>
      </c>
      <c r="C112" t="s">
        <v>8</v>
      </c>
      <c r="D112">
        <f t="shared" si="2"/>
        <v>3</v>
      </c>
      <c r="E112">
        <f t="shared" si="3"/>
        <v>5</v>
      </c>
    </row>
    <row r="113" spans="1:5" x14ac:dyDescent="0.25">
      <c r="A113">
        <v>6.4</v>
      </c>
      <c r="B113">
        <v>5.3</v>
      </c>
      <c r="C113" t="s">
        <v>8</v>
      </c>
      <c r="D113">
        <f t="shared" si="2"/>
        <v>3</v>
      </c>
      <c r="E113">
        <f t="shared" si="3"/>
        <v>5</v>
      </c>
    </row>
    <row r="114" spans="1:5" x14ac:dyDescent="0.25">
      <c r="A114">
        <v>6.8</v>
      </c>
      <c r="B114">
        <v>5.5</v>
      </c>
      <c r="C114" t="s">
        <v>8</v>
      </c>
      <c r="D114">
        <f t="shared" si="2"/>
        <v>3</v>
      </c>
      <c r="E114">
        <f t="shared" si="3"/>
        <v>5</v>
      </c>
    </row>
    <row r="115" spans="1:5" x14ac:dyDescent="0.25">
      <c r="A115">
        <v>5.7</v>
      </c>
      <c r="B115">
        <v>5</v>
      </c>
      <c r="C115" t="s">
        <v>8</v>
      </c>
      <c r="D115">
        <f t="shared" si="2"/>
        <v>3</v>
      </c>
      <c r="E115">
        <f t="shared" si="3"/>
        <v>5</v>
      </c>
    </row>
    <row r="116" spans="1:5" x14ac:dyDescent="0.25">
      <c r="A116">
        <v>5.8</v>
      </c>
      <c r="B116">
        <v>5.0999999999999996</v>
      </c>
      <c r="C116" t="s">
        <v>8</v>
      </c>
      <c r="D116">
        <f t="shared" si="2"/>
        <v>3</v>
      </c>
      <c r="E116">
        <f t="shared" si="3"/>
        <v>5</v>
      </c>
    </row>
    <row r="117" spans="1:5" x14ac:dyDescent="0.25">
      <c r="A117">
        <v>6.4</v>
      </c>
      <c r="B117">
        <v>5.3</v>
      </c>
      <c r="C117" t="s">
        <v>8</v>
      </c>
      <c r="D117">
        <f t="shared" si="2"/>
        <v>3</v>
      </c>
      <c r="E117">
        <f t="shared" si="3"/>
        <v>5</v>
      </c>
    </row>
    <row r="118" spans="1:5" x14ac:dyDescent="0.25">
      <c r="A118">
        <v>6.5</v>
      </c>
      <c r="B118">
        <v>5.5</v>
      </c>
      <c r="C118" t="s">
        <v>8</v>
      </c>
      <c r="D118">
        <f t="shared" si="2"/>
        <v>3</v>
      </c>
      <c r="E118">
        <f t="shared" si="3"/>
        <v>5</v>
      </c>
    </row>
    <row r="119" spans="1:5" x14ac:dyDescent="0.25">
      <c r="A119">
        <v>7.7</v>
      </c>
      <c r="B119">
        <v>6.7</v>
      </c>
      <c r="C119" t="s">
        <v>8</v>
      </c>
      <c r="D119">
        <f t="shared" si="2"/>
        <v>3</v>
      </c>
      <c r="E119">
        <f t="shared" si="3"/>
        <v>5</v>
      </c>
    </row>
    <row r="120" spans="1:5" x14ac:dyDescent="0.25">
      <c r="A120">
        <v>7.7</v>
      </c>
      <c r="B120">
        <v>6.9</v>
      </c>
      <c r="C120" t="s">
        <v>8</v>
      </c>
      <c r="D120">
        <f t="shared" si="2"/>
        <v>3</v>
      </c>
      <c r="E120">
        <f t="shared" si="3"/>
        <v>5</v>
      </c>
    </row>
    <row r="121" spans="1:5" x14ac:dyDescent="0.25">
      <c r="A121">
        <v>6</v>
      </c>
      <c r="B121">
        <v>5</v>
      </c>
      <c r="C121" t="s">
        <v>8</v>
      </c>
      <c r="D121">
        <f t="shared" si="2"/>
        <v>3</v>
      </c>
      <c r="E121">
        <f t="shared" si="3"/>
        <v>5</v>
      </c>
    </row>
    <row r="122" spans="1:5" x14ac:dyDescent="0.25">
      <c r="A122">
        <v>6.9</v>
      </c>
      <c r="B122">
        <v>5.7</v>
      </c>
      <c r="C122" t="s">
        <v>8</v>
      </c>
      <c r="D122">
        <f t="shared" si="2"/>
        <v>3</v>
      </c>
      <c r="E122">
        <f t="shared" si="3"/>
        <v>5</v>
      </c>
    </row>
    <row r="123" spans="1:5" x14ac:dyDescent="0.25">
      <c r="A123">
        <v>5.6</v>
      </c>
      <c r="B123">
        <v>4.9000000000000004</v>
      </c>
      <c r="C123" t="s">
        <v>8</v>
      </c>
      <c r="D123">
        <f t="shared" si="2"/>
        <v>3</v>
      </c>
      <c r="E123">
        <f t="shared" si="3"/>
        <v>5</v>
      </c>
    </row>
    <row r="124" spans="1:5" x14ac:dyDescent="0.25">
      <c r="A124">
        <v>7.7</v>
      </c>
      <c r="B124">
        <v>6.7</v>
      </c>
      <c r="C124" t="s">
        <v>8</v>
      </c>
      <c r="D124">
        <f t="shared" si="2"/>
        <v>3</v>
      </c>
      <c r="E124">
        <f t="shared" si="3"/>
        <v>5</v>
      </c>
    </row>
    <row r="125" spans="1:5" x14ac:dyDescent="0.25">
      <c r="A125">
        <v>6.3</v>
      </c>
      <c r="B125">
        <v>4.9000000000000004</v>
      </c>
      <c r="C125" t="s">
        <v>8</v>
      </c>
      <c r="D125">
        <f t="shared" si="2"/>
        <v>3</v>
      </c>
      <c r="E125">
        <f t="shared" si="3"/>
        <v>5</v>
      </c>
    </row>
    <row r="126" spans="1:5" x14ac:dyDescent="0.25">
      <c r="A126">
        <v>6.7</v>
      </c>
      <c r="B126">
        <v>5.7</v>
      </c>
      <c r="C126" t="s">
        <v>8</v>
      </c>
      <c r="D126">
        <f t="shared" si="2"/>
        <v>3</v>
      </c>
      <c r="E126">
        <f t="shared" si="3"/>
        <v>5</v>
      </c>
    </row>
    <row r="127" spans="1:5" x14ac:dyDescent="0.25">
      <c r="A127">
        <v>7.2</v>
      </c>
      <c r="B127">
        <v>6</v>
      </c>
      <c r="C127" t="s">
        <v>8</v>
      </c>
      <c r="D127">
        <f t="shared" si="2"/>
        <v>3</v>
      </c>
      <c r="E127">
        <f t="shared" si="3"/>
        <v>5</v>
      </c>
    </row>
    <row r="128" spans="1:5" x14ac:dyDescent="0.25">
      <c r="A128">
        <v>6.2</v>
      </c>
      <c r="B128">
        <v>4.8</v>
      </c>
      <c r="C128" t="s">
        <v>8</v>
      </c>
      <c r="D128">
        <f t="shared" si="2"/>
        <v>3</v>
      </c>
      <c r="E128">
        <f t="shared" si="3"/>
        <v>5</v>
      </c>
    </row>
    <row r="129" spans="1:5" x14ac:dyDescent="0.25">
      <c r="A129">
        <v>6.1</v>
      </c>
      <c r="B129">
        <v>4.9000000000000004</v>
      </c>
      <c r="C129" t="s">
        <v>8</v>
      </c>
      <c r="D129">
        <f t="shared" si="2"/>
        <v>3</v>
      </c>
      <c r="E129">
        <f t="shared" si="3"/>
        <v>5</v>
      </c>
    </row>
    <row r="130" spans="1:5" x14ac:dyDescent="0.25">
      <c r="A130">
        <v>6.4</v>
      </c>
      <c r="B130">
        <v>5.6</v>
      </c>
      <c r="C130" t="s">
        <v>8</v>
      </c>
      <c r="D130">
        <f t="shared" si="2"/>
        <v>3</v>
      </c>
      <c r="E130">
        <f t="shared" si="3"/>
        <v>5</v>
      </c>
    </row>
    <row r="131" spans="1:5" x14ac:dyDescent="0.25">
      <c r="A131">
        <v>7.2</v>
      </c>
      <c r="B131">
        <v>5.8</v>
      </c>
      <c r="C131" t="s">
        <v>8</v>
      </c>
      <c r="D131">
        <f t="shared" ref="D131:D151" si="4">IF(C131="Iris-setosa",1,IF(C131="Iris-versicolor",2,3))</f>
        <v>3</v>
      </c>
      <c r="E131">
        <f t="shared" ref="E131:E151" si="5">IF(C131="Iris-setosa",3,IF(C131="Iris-versicolor",4,5))</f>
        <v>5</v>
      </c>
    </row>
    <row r="132" spans="1:5" x14ac:dyDescent="0.25">
      <c r="A132">
        <v>7.4</v>
      </c>
      <c r="B132">
        <v>6.1</v>
      </c>
      <c r="C132" t="s">
        <v>8</v>
      </c>
      <c r="D132">
        <f t="shared" si="4"/>
        <v>3</v>
      </c>
      <c r="E132">
        <f t="shared" si="5"/>
        <v>5</v>
      </c>
    </row>
    <row r="133" spans="1:5" x14ac:dyDescent="0.25">
      <c r="A133">
        <v>7.9</v>
      </c>
      <c r="B133">
        <v>6.4</v>
      </c>
      <c r="C133" t="s">
        <v>8</v>
      </c>
      <c r="D133">
        <f t="shared" si="4"/>
        <v>3</v>
      </c>
      <c r="E133">
        <f t="shared" si="5"/>
        <v>5</v>
      </c>
    </row>
    <row r="134" spans="1:5" x14ac:dyDescent="0.25">
      <c r="A134">
        <v>6.4</v>
      </c>
      <c r="B134">
        <v>5.6</v>
      </c>
      <c r="C134" t="s">
        <v>8</v>
      </c>
      <c r="D134">
        <f t="shared" si="4"/>
        <v>3</v>
      </c>
      <c r="E134">
        <f t="shared" si="5"/>
        <v>5</v>
      </c>
    </row>
    <row r="135" spans="1:5" x14ac:dyDescent="0.25">
      <c r="A135">
        <v>6.3</v>
      </c>
      <c r="B135">
        <v>5.0999999999999996</v>
      </c>
      <c r="C135" t="s">
        <v>8</v>
      </c>
      <c r="D135">
        <f t="shared" si="4"/>
        <v>3</v>
      </c>
      <c r="E135">
        <f t="shared" si="5"/>
        <v>5</v>
      </c>
    </row>
    <row r="136" spans="1:5" x14ac:dyDescent="0.25">
      <c r="A136">
        <v>6.1</v>
      </c>
      <c r="B136">
        <v>5.6</v>
      </c>
      <c r="C136" t="s">
        <v>8</v>
      </c>
      <c r="D136">
        <f t="shared" si="4"/>
        <v>3</v>
      </c>
      <c r="E136">
        <f t="shared" si="5"/>
        <v>5</v>
      </c>
    </row>
    <row r="137" spans="1:5" x14ac:dyDescent="0.25">
      <c r="A137">
        <v>7.7</v>
      </c>
      <c r="B137">
        <v>6.1</v>
      </c>
      <c r="C137" t="s">
        <v>8</v>
      </c>
      <c r="D137">
        <f t="shared" si="4"/>
        <v>3</v>
      </c>
      <c r="E137">
        <f t="shared" si="5"/>
        <v>5</v>
      </c>
    </row>
    <row r="138" spans="1:5" x14ac:dyDescent="0.25">
      <c r="A138">
        <v>6.3</v>
      </c>
      <c r="B138">
        <v>5.6</v>
      </c>
      <c r="C138" t="s">
        <v>8</v>
      </c>
      <c r="D138">
        <f t="shared" si="4"/>
        <v>3</v>
      </c>
      <c r="E138">
        <f t="shared" si="5"/>
        <v>5</v>
      </c>
    </row>
    <row r="139" spans="1:5" x14ac:dyDescent="0.25">
      <c r="A139">
        <v>6.4</v>
      </c>
      <c r="B139">
        <v>5.5</v>
      </c>
      <c r="C139" t="s">
        <v>8</v>
      </c>
      <c r="D139">
        <f t="shared" si="4"/>
        <v>3</v>
      </c>
      <c r="E139">
        <f t="shared" si="5"/>
        <v>5</v>
      </c>
    </row>
    <row r="140" spans="1:5" x14ac:dyDescent="0.25">
      <c r="A140">
        <v>6</v>
      </c>
      <c r="B140">
        <v>4.8</v>
      </c>
      <c r="C140" t="s">
        <v>8</v>
      </c>
      <c r="D140">
        <f t="shared" si="4"/>
        <v>3</v>
      </c>
      <c r="E140">
        <f t="shared" si="5"/>
        <v>5</v>
      </c>
    </row>
    <row r="141" spans="1:5" x14ac:dyDescent="0.25">
      <c r="A141">
        <v>6.9</v>
      </c>
      <c r="B141">
        <v>5.4</v>
      </c>
      <c r="C141" t="s">
        <v>8</v>
      </c>
      <c r="D141">
        <f t="shared" si="4"/>
        <v>3</v>
      </c>
      <c r="E141">
        <f t="shared" si="5"/>
        <v>5</v>
      </c>
    </row>
    <row r="142" spans="1:5" x14ac:dyDescent="0.25">
      <c r="A142">
        <v>6.7</v>
      </c>
      <c r="B142">
        <v>5.6</v>
      </c>
      <c r="C142" t="s">
        <v>8</v>
      </c>
      <c r="D142">
        <f t="shared" si="4"/>
        <v>3</v>
      </c>
      <c r="E142">
        <f t="shared" si="5"/>
        <v>5</v>
      </c>
    </row>
    <row r="143" spans="1:5" x14ac:dyDescent="0.25">
      <c r="A143">
        <v>6.9</v>
      </c>
      <c r="B143">
        <v>5.0999999999999996</v>
      </c>
      <c r="C143" t="s">
        <v>8</v>
      </c>
      <c r="D143">
        <f t="shared" si="4"/>
        <v>3</v>
      </c>
      <c r="E143">
        <f t="shared" si="5"/>
        <v>5</v>
      </c>
    </row>
    <row r="144" spans="1:5" x14ac:dyDescent="0.25">
      <c r="A144">
        <v>5.8</v>
      </c>
      <c r="B144">
        <v>5.0999999999999996</v>
      </c>
      <c r="C144" t="s">
        <v>8</v>
      </c>
      <c r="D144">
        <f t="shared" si="4"/>
        <v>3</v>
      </c>
      <c r="E144">
        <f t="shared" si="5"/>
        <v>5</v>
      </c>
    </row>
    <row r="145" spans="1:5" x14ac:dyDescent="0.25">
      <c r="A145">
        <v>6.8</v>
      </c>
      <c r="B145">
        <v>5.9</v>
      </c>
      <c r="C145" t="s">
        <v>8</v>
      </c>
      <c r="D145">
        <f t="shared" si="4"/>
        <v>3</v>
      </c>
      <c r="E145">
        <f t="shared" si="5"/>
        <v>5</v>
      </c>
    </row>
    <row r="146" spans="1:5" x14ac:dyDescent="0.25">
      <c r="A146">
        <v>6.7</v>
      </c>
      <c r="B146">
        <v>5.7</v>
      </c>
      <c r="C146" t="s">
        <v>8</v>
      </c>
      <c r="D146">
        <f t="shared" si="4"/>
        <v>3</v>
      </c>
      <c r="E146">
        <f t="shared" si="5"/>
        <v>5</v>
      </c>
    </row>
    <row r="147" spans="1:5" x14ac:dyDescent="0.25">
      <c r="A147">
        <v>6.7</v>
      </c>
      <c r="B147">
        <v>5.2</v>
      </c>
      <c r="C147" t="s">
        <v>8</v>
      </c>
      <c r="D147">
        <f t="shared" si="4"/>
        <v>3</v>
      </c>
      <c r="E147">
        <f t="shared" si="5"/>
        <v>5</v>
      </c>
    </row>
    <row r="148" spans="1:5" x14ac:dyDescent="0.25">
      <c r="A148">
        <v>6.3</v>
      </c>
      <c r="B148">
        <v>5</v>
      </c>
      <c r="C148" t="s">
        <v>8</v>
      </c>
      <c r="D148">
        <f t="shared" si="4"/>
        <v>3</v>
      </c>
      <c r="E148">
        <f t="shared" si="5"/>
        <v>5</v>
      </c>
    </row>
    <row r="149" spans="1:5" x14ac:dyDescent="0.25">
      <c r="A149">
        <v>6.5</v>
      </c>
      <c r="B149">
        <v>5.2</v>
      </c>
      <c r="C149" t="s">
        <v>8</v>
      </c>
      <c r="D149">
        <f t="shared" si="4"/>
        <v>3</v>
      </c>
      <c r="E149">
        <f t="shared" si="5"/>
        <v>5</v>
      </c>
    </row>
    <row r="150" spans="1:5" x14ac:dyDescent="0.25">
      <c r="A150">
        <v>6.2</v>
      </c>
      <c r="B150">
        <v>5.4</v>
      </c>
      <c r="C150" t="s">
        <v>8</v>
      </c>
      <c r="D150">
        <f t="shared" si="4"/>
        <v>3</v>
      </c>
      <c r="E150">
        <f t="shared" si="5"/>
        <v>5</v>
      </c>
    </row>
    <row r="151" spans="1:5" x14ac:dyDescent="0.25">
      <c r="A151">
        <v>5.9</v>
      </c>
      <c r="B151">
        <v>5.0999999999999996</v>
      </c>
      <c r="C151" t="s">
        <v>8</v>
      </c>
      <c r="D151">
        <f t="shared" si="4"/>
        <v>3</v>
      </c>
      <c r="E151">
        <f t="shared" si="5"/>
        <v>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51"/>
  <sheetViews>
    <sheetView topLeftCell="A21" workbookViewId="0">
      <selection activeCell="F25" sqref="F25"/>
    </sheetView>
  </sheetViews>
  <sheetFormatPr defaultRowHeight="15" x14ac:dyDescent="0.25"/>
  <sheetData>
    <row r="1" spans="1:5" x14ac:dyDescent="0.25">
      <c r="A1" t="s">
        <v>2</v>
      </c>
      <c r="B1" t="s">
        <v>4</v>
      </c>
      <c r="C1" t="s">
        <v>5</v>
      </c>
      <c r="D1" t="s">
        <v>9</v>
      </c>
      <c r="E1" t="s">
        <v>10</v>
      </c>
    </row>
    <row r="2" spans="1:5" x14ac:dyDescent="0.25">
      <c r="A2">
        <v>3.5</v>
      </c>
      <c r="B2">
        <v>0.2</v>
      </c>
      <c r="C2" t="s">
        <v>6</v>
      </c>
      <c r="D2">
        <f>IF(C2="Iris-setosa",1,IF(C2="Iris-versicolor",2,3))</f>
        <v>1</v>
      </c>
      <c r="E2">
        <f>IF(C2="Iris-setosa",3,IF(C2="Iris-versicolor",4,5))</f>
        <v>3</v>
      </c>
    </row>
    <row r="3" spans="1:5" x14ac:dyDescent="0.25">
      <c r="A3">
        <v>3</v>
      </c>
      <c r="B3">
        <v>0.2</v>
      </c>
      <c r="C3" t="s">
        <v>6</v>
      </c>
      <c r="D3">
        <f t="shared" ref="D3:D66" si="0">IF(C3="Iris-setosa",1,IF(C3="Iris-versicolor",2,3))</f>
        <v>1</v>
      </c>
      <c r="E3">
        <f t="shared" ref="E3:E66" si="1">IF(C3="Iris-setosa",3,IF(C3="Iris-versicolor",4,5))</f>
        <v>3</v>
      </c>
    </row>
    <row r="4" spans="1:5" x14ac:dyDescent="0.25">
      <c r="A4">
        <v>3.2</v>
      </c>
      <c r="B4">
        <v>0.2</v>
      </c>
      <c r="C4" t="s">
        <v>6</v>
      </c>
      <c r="D4">
        <f t="shared" si="0"/>
        <v>1</v>
      </c>
      <c r="E4">
        <f t="shared" si="1"/>
        <v>3</v>
      </c>
    </row>
    <row r="5" spans="1:5" x14ac:dyDescent="0.25">
      <c r="A5">
        <v>3.1</v>
      </c>
      <c r="B5">
        <v>0.2</v>
      </c>
      <c r="C5" t="s">
        <v>6</v>
      </c>
      <c r="D5">
        <f t="shared" si="0"/>
        <v>1</v>
      </c>
      <c r="E5">
        <f t="shared" si="1"/>
        <v>3</v>
      </c>
    </row>
    <row r="6" spans="1:5" x14ac:dyDescent="0.25">
      <c r="A6">
        <v>3.6</v>
      </c>
      <c r="B6">
        <v>0.2</v>
      </c>
      <c r="C6" t="s">
        <v>6</v>
      </c>
      <c r="D6">
        <f t="shared" si="0"/>
        <v>1</v>
      </c>
      <c r="E6">
        <f t="shared" si="1"/>
        <v>3</v>
      </c>
    </row>
    <row r="7" spans="1:5" x14ac:dyDescent="0.25">
      <c r="A7">
        <v>3.9</v>
      </c>
      <c r="B7">
        <v>0.4</v>
      </c>
      <c r="C7" t="s">
        <v>6</v>
      </c>
      <c r="D7">
        <f t="shared" si="0"/>
        <v>1</v>
      </c>
      <c r="E7">
        <f t="shared" si="1"/>
        <v>3</v>
      </c>
    </row>
    <row r="8" spans="1:5" x14ac:dyDescent="0.25">
      <c r="A8">
        <v>3.4</v>
      </c>
      <c r="B8">
        <v>0.3</v>
      </c>
      <c r="C8" t="s">
        <v>6</v>
      </c>
      <c r="D8">
        <f t="shared" si="0"/>
        <v>1</v>
      </c>
      <c r="E8">
        <f t="shared" si="1"/>
        <v>3</v>
      </c>
    </row>
    <row r="9" spans="1:5" x14ac:dyDescent="0.25">
      <c r="A9">
        <v>3.4</v>
      </c>
      <c r="B9">
        <v>0.2</v>
      </c>
      <c r="C9" t="s">
        <v>6</v>
      </c>
      <c r="D9">
        <f t="shared" si="0"/>
        <v>1</v>
      </c>
      <c r="E9">
        <f t="shared" si="1"/>
        <v>3</v>
      </c>
    </row>
    <row r="10" spans="1:5" x14ac:dyDescent="0.25">
      <c r="A10">
        <v>2.9</v>
      </c>
      <c r="B10">
        <v>0.2</v>
      </c>
      <c r="C10" t="s">
        <v>6</v>
      </c>
      <c r="D10">
        <f t="shared" si="0"/>
        <v>1</v>
      </c>
      <c r="E10">
        <f t="shared" si="1"/>
        <v>3</v>
      </c>
    </row>
    <row r="11" spans="1:5" x14ac:dyDescent="0.25">
      <c r="A11">
        <v>3.1</v>
      </c>
      <c r="B11">
        <v>0.1</v>
      </c>
      <c r="C11" t="s">
        <v>6</v>
      </c>
      <c r="D11">
        <f t="shared" si="0"/>
        <v>1</v>
      </c>
      <c r="E11">
        <f t="shared" si="1"/>
        <v>3</v>
      </c>
    </row>
    <row r="12" spans="1:5" x14ac:dyDescent="0.25">
      <c r="A12">
        <v>3.7</v>
      </c>
      <c r="B12">
        <v>0.2</v>
      </c>
      <c r="C12" t="s">
        <v>6</v>
      </c>
      <c r="D12">
        <f t="shared" si="0"/>
        <v>1</v>
      </c>
      <c r="E12">
        <f t="shared" si="1"/>
        <v>3</v>
      </c>
    </row>
    <row r="13" spans="1:5" x14ac:dyDescent="0.25">
      <c r="A13">
        <v>3.4</v>
      </c>
      <c r="B13">
        <v>0.2</v>
      </c>
      <c r="C13" t="s">
        <v>6</v>
      </c>
      <c r="D13">
        <f t="shared" si="0"/>
        <v>1</v>
      </c>
      <c r="E13">
        <f t="shared" si="1"/>
        <v>3</v>
      </c>
    </row>
    <row r="14" spans="1:5" x14ac:dyDescent="0.25">
      <c r="A14">
        <v>3</v>
      </c>
      <c r="B14">
        <v>0.1</v>
      </c>
      <c r="C14" t="s">
        <v>6</v>
      </c>
      <c r="D14">
        <f t="shared" si="0"/>
        <v>1</v>
      </c>
      <c r="E14">
        <f t="shared" si="1"/>
        <v>3</v>
      </c>
    </row>
    <row r="15" spans="1:5" x14ac:dyDescent="0.25">
      <c r="A15">
        <v>3</v>
      </c>
      <c r="B15">
        <v>0.1</v>
      </c>
      <c r="C15" t="s">
        <v>6</v>
      </c>
      <c r="D15">
        <f t="shared" si="0"/>
        <v>1</v>
      </c>
      <c r="E15">
        <f t="shared" si="1"/>
        <v>3</v>
      </c>
    </row>
    <row r="16" spans="1:5" x14ac:dyDescent="0.25">
      <c r="A16">
        <v>4</v>
      </c>
      <c r="B16">
        <v>0.2</v>
      </c>
      <c r="C16" t="s">
        <v>6</v>
      </c>
      <c r="D16">
        <f t="shared" si="0"/>
        <v>1</v>
      </c>
      <c r="E16">
        <f t="shared" si="1"/>
        <v>3</v>
      </c>
    </row>
    <row r="17" spans="1:5" x14ac:dyDescent="0.25">
      <c r="A17">
        <v>4.4000000000000004</v>
      </c>
      <c r="B17">
        <v>0.4</v>
      </c>
      <c r="C17" t="s">
        <v>6</v>
      </c>
      <c r="D17">
        <f t="shared" si="0"/>
        <v>1</v>
      </c>
      <c r="E17">
        <f t="shared" si="1"/>
        <v>3</v>
      </c>
    </row>
    <row r="18" spans="1:5" x14ac:dyDescent="0.25">
      <c r="A18">
        <v>3.9</v>
      </c>
      <c r="B18">
        <v>0.4</v>
      </c>
      <c r="C18" t="s">
        <v>6</v>
      </c>
      <c r="D18">
        <f t="shared" si="0"/>
        <v>1</v>
      </c>
      <c r="E18">
        <f t="shared" si="1"/>
        <v>3</v>
      </c>
    </row>
    <row r="19" spans="1:5" x14ac:dyDescent="0.25">
      <c r="A19">
        <v>3.5</v>
      </c>
      <c r="B19">
        <v>0.3</v>
      </c>
      <c r="C19" t="s">
        <v>6</v>
      </c>
      <c r="D19">
        <f t="shared" si="0"/>
        <v>1</v>
      </c>
      <c r="E19">
        <f t="shared" si="1"/>
        <v>3</v>
      </c>
    </row>
    <row r="20" spans="1:5" x14ac:dyDescent="0.25">
      <c r="A20">
        <v>3.8</v>
      </c>
      <c r="B20">
        <v>0.3</v>
      </c>
      <c r="C20" t="s">
        <v>6</v>
      </c>
      <c r="D20">
        <f t="shared" si="0"/>
        <v>1</v>
      </c>
      <c r="E20">
        <f t="shared" si="1"/>
        <v>3</v>
      </c>
    </row>
    <row r="21" spans="1:5" x14ac:dyDescent="0.25">
      <c r="A21">
        <v>3.8</v>
      </c>
      <c r="B21">
        <v>0.3</v>
      </c>
      <c r="C21" t="s">
        <v>6</v>
      </c>
      <c r="D21">
        <f t="shared" si="0"/>
        <v>1</v>
      </c>
      <c r="E21">
        <f t="shared" si="1"/>
        <v>3</v>
      </c>
    </row>
    <row r="22" spans="1:5" x14ac:dyDescent="0.25">
      <c r="A22">
        <v>3.4</v>
      </c>
      <c r="B22">
        <v>0.2</v>
      </c>
      <c r="C22" t="s">
        <v>6</v>
      </c>
      <c r="D22">
        <f t="shared" si="0"/>
        <v>1</v>
      </c>
      <c r="E22">
        <f t="shared" si="1"/>
        <v>3</v>
      </c>
    </row>
    <row r="23" spans="1:5" x14ac:dyDescent="0.25">
      <c r="A23">
        <v>3.7</v>
      </c>
      <c r="B23">
        <v>0.4</v>
      </c>
      <c r="C23" t="s">
        <v>6</v>
      </c>
      <c r="D23">
        <f t="shared" si="0"/>
        <v>1</v>
      </c>
      <c r="E23">
        <f t="shared" si="1"/>
        <v>3</v>
      </c>
    </row>
    <row r="24" spans="1:5" x14ac:dyDescent="0.25">
      <c r="A24">
        <v>3.6</v>
      </c>
      <c r="B24">
        <v>0.2</v>
      </c>
      <c r="C24" t="s">
        <v>6</v>
      </c>
      <c r="D24">
        <f t="shared" si="0"/>
        <v>1</v>
      </c>
      <c r="E24">
        <f t="shared" si="1"/>
        <v>3</v>
      </c>
    </row>
    <row r="25" spans="1:5" x14ac:dyDescent="0.25">
      <c r="A25">
        <v>3.3</v>
      </c>
      <c r="B25">
        <v>0.5</v>
      </c>
      <c r="C25" t="s">
        <v>6</v>
      </c>
      <c r="D25">
        <f t="shared" si="0"/>
        <v>1</v>
      </c>
      <c r="E25">
        <f t="shared" si="1"/>
        <v>3</v>
      </c>
    </row>
    <row r="26" spans="1:5" x14ac:dyDescent="0.25">
      <c r="A26">
        <v>3.4</v>
      </c>
      <c r="B26">
        <v>0.2</v>
      </c>
      <c r="C26" t="s">
        <v>6</v>
      </c>
      <c r="D26">
        <f t="shared" si="0"/>
        <v>1</v>
      </c>
      <c r="E26">
        <f t="shared" si="1"/>
        <v>3</v>
      </c>
    </row>
    <row r="27" spans="1:5" x14ac:dyDescent="0.25">
      <c r="A27">
        <v>3</v>
      </c>
      <c r="B27">
        <v>0.2</v>
      </c>
      <c r="C27" t="s">
        <v>6</v>
      </c>
      <c r="D27">
        <f t="shared" si="0"/>
        <v>1</v>
      </c>
      <c r="E27">
        <f t="shared" si="1"/>
        <v>3</v>
      </c>
    </row>
    <row r="28" spans="1:5" x14ac:dyDescent="0.25">
      <c r="A28">
        <v>3.4</v>
      </c>
      <c r="B28">
        <v>0.4</v>
      </c>
      <c r="C28" t="s">
        <v>6</v>
      </c>
      <c r="D28">
        <f t="shared" si="0"/>
        <v>1</v>
      </c>
      <c r="E28">
        <f t="shared" si="1"/>
        <v>3</v>
      </c>
    </row>
    <row r="29" spans="1:5" x14ac:dyDescent="0.25">
      <c r="A29">
        <v>3.5</v>
      </c>
      <c r="B29">
        <v>0.2</v>
      </c>
      <c r="C29" t="s">
        <v>6</v>
      </c>
      <c r="D29">
        <f t="shared" si="0"/>
        <v>1</v>
      </c>
      <c r="E29">
        <f t="shared" si="1"/>
        <v>3</v>
      </c>
    </row>
    <row r="30" spans="1:5" x14ac:dyDescent="0.25">
      <c r="A30">
        <v>3.4</v>
      </c>
      <c r="B30">
        <v>0.2</v>
      </c>
      <c r="C30" t="s">
        <v>6</v>
      </c>
      <c r="D30">
        <f t="shared" si="0"/>
        <v>1</v>
      </c>
      <c r="E30">
        <f t="shared" si="1"/>
        <v>3</v>
      </c>
    </row>
    <row r="31" spans="1:5" x14ac:dyDescent="0.25">
      <c r="A31">
        <v>3.2</v>
      </c>
      <c r="B31">
        <v>0.2</v>
      </c>
      <c r="C31" t="s">
        <v>6</v>
      </c>
      <c r="D31">
        <f t="shared" si="0"/>
        <v>1</v>
      </c>
      <c r="E31">
        <f t="shared" si="1"/>
        <v>3</v>
      </c>
    </row>
    <row r="32" spans="1:5" x14ac:dyDescent="0.25">
      <c r="A32">
        <v>3.1</v>
      </c>
      <c r="B32">
        <v>0.2</v>
      </c>
      <c r="C32" t="s">
        <v>6</v>
      </c>
      <c r="D32">
        <f t="shared" si="0"/>
        <v>1</v>
      </c>
      <c r="E32">
        <f t="shared" si="1"/>
        <v>3</v>
      </c>
    </row>
    <row r="33" spans="1:5" x14ac:dyDescent="0.25">
      <c r="A33">
        <v>3.4</v>
      </c>
      <c r="B33">
        <v>0.4</v>
      </c>
      <c r="C33" t="s">
        <v>6</v>
      </c>
      <c r="D33">
        <f t="shared" si="0"/>
        <v>1</v>
      </c>
      <c r="E33">
        <f t="shared" si="1"/>
        <v>3</v>
      </c>
    </row>
    <row r="34" spans="1:5" x14ac:dyDescent="0.25">
      <c r="A34">
        <v>4.0999999999999996</v>
      </c>
      <c r="B34">
        <v>0.1</v>
      </c>
      <c r="C34" t="s">
        <v>6</v>
      </c>
      <c r="D34">
        <f t="shared" si="0"/>
        <v>1</v>
      </c>
      <c r="E34">
        <f t="shared" si="1"/>
        <v>3</v>
      </c>
    </row>
    <row r="35" spans="1:5" x14ac:dyDescent="0.25">
      <c r="A35">
        <v>4.2</v>
      </c>
      <c r="B35">
        <v>0.2</v>
      </c>
      <c r="C35" t="s">
        <v>6</v>
      </c>
      <c r="D35">
        <f t="shared" si="0"/>
        <v>1</v>
      </c>
      <c r="E35">
        <f t="shared" si="1"/>
        <v>3</v>
      </c>
    </row>
    <row r="36" spans="1:5" x14ac:dyDescent="0.25">
      <c r="A36">
        <v>3.1</v>
      </c>
      <c r="B36">
        <v>0.1</v>
      </c>
      <c r="C36" t="s">
        <v>6</v>
      </c>
      <c r="D36">
        <f t="shared" si="0"/>
        <v>1</v>
      </c>
      <c r="E36">
        <f t="shared" si="1"/>
        <v>3</v>
      </c>
    </row>
    <row r="37" spans="1:5" x14ac:dyDescent="0.25">
      <c r="A37">
        <v>3.2</v>
      </c>
      <c r="B37">
        <v>0.2</v>
      </c>
      <c r="C37" t="s">
        <v>6</v>
      </c>
      <c r="D37">
        <f t="shared" si="0"/>
        <v>1</v>
      </c>
      <c r="E37">
        <f t="shared" si="1"/>
        <v>3</v>
      </c>
    </row>
    <row r="38" spans="1:5" x14ac:dyDescent="0.25">
      <c r="A38">
        <v>3.5</v>
      </c>
      <c r="B38">
        <v>0.2</v>
      </c>
      <c r="C38" t="s">
        <v>6</v>
      </c>
      <c r="D38">
        <f t="shared" si="0"/>
        <v>1</v>
      </c>
      <c r="E38">
        <f t="shared" si="1"/>
        <v>3</v>
      </c>
    </row>
    <row r="39" spans="1:5" x14ac:dyDescent="0.25">
      <c r="A39">
        <v>3.1</v>
      </c>
      <c r="B39">
        <v>0.1</v>
      </c>
      <c r="C39" t="s">
        <v>6</v>
      </c>
      <c r="D39">
        <f t="shared" si="0"/>
        <v>1</v>
      </c>
      <c r="E39">
        <f t="shared" si="1"/>
        <v>3</v>
      </c>
    </row>
    <row r="40" spans="1:5" x14ac:dyDescent="0.25">
      <c r="A40">
        <v>3</v>
      </c>
      <c r="B40">
        <v>0.2</v>
      </c>
      <c r="C40" t="s">
        <v>6</v>
      </c>
      <c r="D40">
        <f t="shared" si="0"/>
        <v>1</v>
      </c>
      <c r="E40">
        <f t="shared" si="1"/>
        <v>3</v>
      </c>
    </row>
    <row r="41" spans="1:5" x14ac:dyDescent="0.25">
      <c r="A41">
        <v>3.4</v>
      </c>
      <c r="B41">
        <v>0.2</v>
      </c>
      <c r="C41" t="s">
        <v>6</v>
      </c>
      <c r="D41">
        <f t="shared" si="0"/>
        <v>1</v>
      </c>
      <c r="E41">
        <f t="shared" si="1"/>
        <v>3</v>
      </c>
    </row>
    <row r="42" spans="1:5" x14ac:dyDescent="0.25">
      <c r="A42">
        <v>3.5</v>
      </c>
      <c r="B42">
        <v>0.3</v>
      </c>
      <c r="C42" t="s">
        <v>6</v>
      </c>
      <c r="D42">
        <f t="shared" si="0"/>
        <v>1</v>
      </c>
      <c r="E42">
        <f t="shared" si="1"/>
        <v>3</v>
      </c>
    </row>
    <row r="43" spans="1:5" x14ac:dyDescent="0.25">
      <c r="A43">
        <v>2.2999999999999998</v>
      </c>
      <c r="B43">
        <v>0.3</v>
      </c>
      <c r="C43" t="s">
        <v>6</v>
      </c>
      <c r="D43">
        <f t="shared" si="0"/>
        <v>1</v>
      </c>
      <c r="E43">
        <f t="shared" si="1"/>
        <v>3</v>
      </c>
    </row>
    <row r="44" spans="1:5" x14ac:dyDescent="0.25">
      <c r="A44">
        <v>3.2</v>
      </c>
      <c r="B44">
        <v>0.2</v>
      </c>
      <c r="C44" t="s">
        <v>6</v>
      </c>
      <c r="D44">
        <f t="shared" si="0"/>
        <v>1</v>
      </c>
      <c r="E44">
        <f t="shared" si="1"/>
        <v>3</v>
      </c>
    </row>
    <row r="45" spans="1:5" x14ac:dyDescent="0.25">
      <c r="A45">
        <v>3.5</v>
      </c>
      <c r="B45">
        <v>0.6</v>
      </c>
      <c r="C45" t="s">
        <v>6</v>
      </c>
      <c r="D45">
        <f t="shared" si="0"/>
        <v>1</v>
      </c>
      <c r="E45">
        <f t="shared" si="1"/>
        <v>3</v>
      </c>
    </row>
    <row r="46" spans="1:5" x14ac:dyDescent="0.25">
      <c r="A46">
        <v>3.8</v>
      </c>
      <c r="B46">
        <v>0.4</v>
      </c>
      <c r="C46" t="s">
        <v>6</v>
      </c>
      <c r="D46">
        <f t="shared" si="0"/>
        <v>1</v>
      </c>
      <c r="E46">
        <f t="shared" si="1"/>
        <v>3</v>
      </c>
    </row>
    <row r="47" spans="1:5" x14ac:dyDescent="0.25">
      <c r="A47">
        <v>3</v>
      </c>
      <c r="B47">
        <v>0.3</v>
      </c>
      <c r="C47" t="s">
        <v>6</v>
      </c>
      <c r="D47">
        <f t="shared" si="0"/>
        <v>1</v>
      </c>
      <c r="E47">
        <f t="shared" si="1"/>
        <v>3</v>
      </c>
    </row>
    <row r="48" spans="1:5" x14ac:dyDescent="0.25">
      <c r="A48">
        <v>3.8</v>
      </c>
      <c r="B48">
        <v>0.2</v>
      </c>
      <c r="C48" t="s">
        <v>6</v>
      </c>
      <c r="D48">
        <f t="shared" si="0"/>
        <v>1</v>
      </c>
      <c r="E48">
        <f t="shared" si="1"/>
        <v>3</v>
      </c>
    </row>
    <row r="49" spans="1:5" x14ac:dyDescent="0.25">
      <c r="A49">
        <v>3.2</v>
      </c>
      <c r="B49">
        <v>0.2</v>
      </c>
      <c r="C49" t="s">
        <v>6</v>
      </c>
      <c r="D49">
        <f t="shared" si="0"/>
        <v>1</v>
      </c>
      <c r="E49">
        <f t="shared" si="1"/>
        <v>3</v>
      </c>
    </row>
    <row r="50" spans="1:5" x14ac:dyDescent="0.25">
      <c r="A50">
        <v>3.7</v>
      </c>
      <c r="B50">
        <v>0.2</v>
      </c>
      <c r="C50" t="s">
        <v>6</v>
      </c>
      <c r="D50">
        <f t="shared" si="0"/>
        <v>1</v>
      </c>
      <c r="E50">
        <f t="shared" si="1"/>
        <v>3</v>
      </c>
    </row>
    <row r="51" spans="1:5" x14ac:dyDescent="0.25">
      <c r="A51">
        <v>3.3</v>
      </c>
      <c r="B51">
        <v>0.2</v>
      </c>
      <c r="C51" t="s">
        <v>6</v>
      </c>
      <c r="D51">
        <f t="shared" si="0"/>
        <v>1</v>
      </c>
      <c r="E51">
        <f t="shared" si="1"/>
        <v>3</v>
      </c>
    </row>
    <row r="52" spans="1:5" x14ac:dyDescent="0.25">
      <c r="A52">
        <v>3.2</v>
      </c>
      <c r="B52">
        <v>1.4</v>
      </c>
      <c r="C52" t="s">
        <v>7</v>
      </c>
      <c r="D52">
        <f t="shared" si="0"/>
        <v>2</v>
      </c>
      <c r="E52">
        <f t="shared" si="1"/>
        <v>4</v>
      </c>
    </row>
    <row r="53" spans="1:5" x14ac:dyDescent="0.25">
      <c r="A53">
        <v>3.2</v>
      </c>
      <c r="B53">
        <v>1.5</v>
      </c>
      <c r="C53" t="s">
        <v>7</v>
      </c>
      <c r="D53">
        <f t="shared" si="0"/>
        <v>2</v>
      </c>
      <c r="E53">
        <f t="shared" si="1"/>
        <v>4</v>
      </c>
    </row>
    <row r="54" spans="1:5" x14ac:dyDescent="0.25">
      <c r="A54">
        <v>3.1</v>
      </c>
      <c r="B54">
        <v>1.5</v>
      </c>
      <c r="C54" t="s">
        <v>7</v>
      </c>
      <c r="D54">
        <f t="shared" si="0"/>
        <v>2</v>
      </c>
      <c r="E54">
        <f t="shared" si="1"/>
        <v>4</v>
      </c>
    </row>
    <row r="55" spans="1:5" x14ac:dyDescent="0.25">
      <c r="A55">
        <v>2.2999999999999998</v>
      </c>
      <c r="B55">
        <v>1.3</v>
      </c>
      <c r="C55" t="s">
        <v>7</v>
      </c>
      <c r="D55">
        <f t="shared" si="0"/>
        <v>2</v>
      </c>
      <c r="E55">
        <f t="shared" si="1"/>
        <v>4</v>
      </c>
    </row>
    <row r="56" spans="1:5" x14ac:dyDescent="0.25">
      <c r="A56">
        <v>2.8</v>
      </c>
      <c r="B56">
        <v>1.5</v>
      </c>
      <c r="C56" t="s">
        <v>7</v>
      </c>
      <c r="D56">
        <f t="shared" si="0"/>
        <v>2</v>
      </c>
      <c r="E56">
        <f t="shared" si="1"/>
        <v>4</v>
      </c>
    </row>
    <row r="57" spans="1:5" x14ac:dyDescent="0.25">
      <c r="A57">
        <v>2.8</v>
      </c>
      <c r="B57">
        <v>1.3</v>
      </c>
      <c r="C57" t="s">
        <v>7</v>
      </c>
      <c r="D57">
        <f t="shared" si="0"/>
        <v>2</v>
      </c>
      <c r="E57">
        <f t="shared" si="1"/>
        <v>4</v>
      </c>
    </row>
    <row r="58" spans="1:5" x14ac:dyDescent="0.25">
      <c r="A58">
        <v>3.3</v>
      </c>
      <c r="B58">
        <v>1.6</v>
      </c>
      <c r="C58" t="s">
        <v>7</v>
      </c>
      <c r="D58">
        <f t="shared" si="0"/>
        <v>2</v>
      </c>
      <c r="E58">
        <f t="shared" si="1"/>
        <v>4</v>
      </c>
    </row>
    <row r="59" spans="1:5" x14ac:dyDescent="0.25">
      <c r="A59">
        <v>2.4</v>
      </c>
      <c r="B59">
        <v>1</v>
      </c>
      <c r="C59" t="s">
        <v>7</v>
      </c>
      <c r="D59">
        <f t="shared" si="0"/>
        <v>2</v>
      </c>
      <c r="E59">
        <f t="shared" si="1"/>
        <v>4</v>
      </c>
    </row>
    <row r="60" spans="1:5" x14ac:dyDescent="0.25">
      <c r="A60">
        <v>2.9</v>
      </c>
      <c r="B60">
        <v>1.3</v>
      </c>
      <c r="C60" t="s">
        <v>7</v>
      </c>
      <c r="D60">
        <f t="shared" si="0"/>
        <v>2</v>
      </c>
      <c r="E60">
        <f t="shared" si="1"/>
        <v>4</v>
      </c>
    </row>
    <row r="61" spans="1:5" x14ac:dyDescent="0.25">
      <c r="A61">
        <v>2.7</v>
      </c>
      <c r="B61">
        <v>1.4</v>
      </c>
      <c r="C61" t="s">
        <v>7</v>
      </c>
      <c r="D61">
        <f t="shared" si="0"/>
        <v>2</v>
      </c>
      <c r="E61">
        <f t="shared" si="1"/>
        <v>4</v>
      </c>
    </row>
    <row r="62" spans="1:5" x14ac:dyDescent="0.25">
      <c r="A62">
        <v>2</v>
      </c>
      <c r="B62">
        <v>1</v>
      </c>
      <c r="C62" t="s">
        <v>7</v>
      </c>
      <c r="D62">
        <f t="shared" si="0"/>
        <v>2</v>
      </c>
      <c r="E62">
        <f t="shared" si="1"/>
        <v>4</v>
      </c>
    </row>
    <row r="63" spans="1:5" x14ac:dyDescent="0.25">
      <c r="A63">
        <v>3</v>
      </c>
      <c r="B63">
        <v>1.5</v>
      </c>
      <c r="C63" t="s">
        <v>7</v>
      </c>
      <c r="D63">
        <f t="shared" si="0"/>
        <v>2</v>
      </c>
      <c r="E63">
        <f t="shared" si="1"/>
        <v>4</v>
      </c>
    </row>
    <row r="64" spans="1:5" x14ac:dyDescent="0.25">
      <c r="A64">
        <v>2.2000000000000002</v>
      </c>
      <c r="B64">
        <v>1</v>
      </c>
      <c r="C64" t="s">
        <v>7</v>
      </c>
      <c r="D64">
        <f t="shared" si="0"/>
        <v>2</v>
      </c>
      <c r="E64">
        <f t="shared" si="1"/>
        <v>4</v>
      </c>
    </row>
    <row r="65" spans="1:5" x14ac:dyDescent="0.25">
      <c r="A65">
        <v>2.9</v>
      </c>
      <c r="B65">
        <v>1.4</v>
      </c>
      <c r="C65" t="s">
        <v>7</v>
      </c>
      <c r="D65">
        <f t="shared" si="0"/>
        <v>2</v>
      </c>
      <c r="E65">
        <f t="shared" si="1"/>
        <v>4</v>
      </c>
    </row>
    <row r="66" spans="1:5" x14ac:dyDescent="0.25">
      <c r="A66">
        <v>2.9</v>
      </c>
      <c r="B66">
        <v>1.3</v>
      </c>
      <c r="C66" t="s">
        <v>7</v>
      </c>
      <c r="D66">
        <f t="shared" si="0"/>
        <v>2</v>
      </c>
      <c r="E66">
        <f t="shared" si="1"/>
        <v>4</v>
      </c>
    </row>
    <row r="67" spans="1:5" x14ac:dyDescent="0.25">
      <c r="A67">
        <v>3.1</v>
      </c>
      <c r="B67">
        <v>1.4</v>
      </c>
      <c r="C67" t="s">
        <v>7</v>
      </c>
      <c r="D67">
        <f t="shared" ref="D67:D130" si="2">IF(C67="Iris-setosa",1,IF(C67="Iris-versicolor",2,3))</f>
        <v>2</v>
      </c>
      <c r="E67">
        <f t="shared" ref="E67:E130" si="3">IF(C67="Iris-setosa",3,IF(C67="Iris-versicolor",4,5))</f>
        <v>4</v>
      </c>
    </row>
    <row r="68" spans="1:5" x14ac:dyDescent="0.25">
      <c r="A68">
        <v>3</v>
      </c>
      <c r="B68">
        <v>1.5</v>
      </c>
      <c r="C68" t="s">
        <v>7</v>
      </c>
      <c r="D68">
        <f t="shared" si="2"/>
        <v>2</v>
      </c>
      <c r="E68">
        <f t="shared" si="3"/>
        <v>4</v>
      </c>
    </row>
    <row r="69" spans="1:5" x14ac:dyDescent="0.25">
      <c r="A69">
        <v>2.7</v>
      </c>
      <c r="B69">
        <v>1</v>
      </c>
      <c r="C69" t="s">
        <v>7</v>
      </c>
      <c r="D69">
        <f t="shared" si="2"/>
        <v>2</v>
      </c>
      <c r="E69">
        <f t="shared" si="3"/>
        <v>4</v>
      </c>
    </row>
    <row r="70" spans="1:5" x14ac:dyDescent="0.25">
      <c r="A70">
        <v>2.2000000000000002</v>
      </c>
      <c r="B70">
        <v>1.5</v>
      </c>
      <c r="C70" t="s">
        <v>7</v>
      </c>
      <c r="D70">
        <f t="shared" si="2"/>
        <v>2</v>
      </c>
      <c r="E70">
        <f t="shared" si="3"/>
        <v>4</v>
      </c>
    </row>
    <row r="71" spans="1:5" x14ac:dyDescent="0.25">
      <c r="A71">
        <v>2.5</v>
      </c>
      <c r="B71">
        <v>1.1000000000000001</v>
      </c>
      <c r="C71" t="s">
        <v>7</v>
      </c>
      <c r="D71">
        <f t="shared" si="2"/>
        <v>2</v>
      </c>
      <c r="E71">
        <f t="shared" si="3"/>
        <v>4</v>
      </c>
    </row>
    <row r="72" spans="1:5" x14ac:dyDescent="0.25">
      <c r="A72">
        <v>3.2</v>
      </c>
      <c r="B72">
        <v>1.8</v>
      </c>
      <c r="C72" t="s">
        <v>7</v>
      </c>
      <c r="D72">
        <f t="shared" si="2"/>
        <v>2</v>
      </c>
      <c r="E72">
        <f t="shared" si="3"/>
        <v>4</v>
      </c>
    </row>
    <row r="73" spans="1:5" x14ac:dyDescent="0.25">
      <c r="A73">
        <v>2.8</v>
      </c>
      <c r="B73">
        <v>1.3</v>
      </c>
      <c r="C73" t="s">
        <v>7</v>
      </c>
      <c r="D73">
        <f t="shared" si="2"/>
        <v>2</v>
      </c>
      <c r="E73">
        <f t="shared" si="3"/>
        <v>4</v>
      </c>
    </row>
    <row r="74" spans="1:5" x14ac:dyDescent="0.25">
      <c r="A74">
        <v>2.5</v>
      </c>
      <c r="B74">
        <v>1.5</v>
      </c>
      <c r="C74" t="s">
        <v>7</v>
      </c>
      <c r="D74">
        <f t="shared" si="2"/>
        <v>2</v>
      </c>
      <c r="E74">
        <f t="shared" si="3"/>
        <v>4</v>
      </c>
    </row>
    <row r="75" spans="1:5" x14ac:dyDescent="0.25">
      <c r="A75">
        <v>2.8</v>
      </c>
      <c r="B75">
        <v>1.2</v>
      </c>
      <c r="C75" t="s">
        <v>7</v>
      </c>
      <c r="D75">
        <f t="shared" si="2"/>
        <v>2</v>
      </c>
      <c r="E75">
        <f t="shared" si="3"/>
        <v>4</v>
      </c>
    </row>
    <row r="76" spans="1:5" x14ac:dyDescent="0.25">
      <c r="A76">
        <v>2.9</v>
      </c>
      <c r="B76">
        <v>1.3</v>
      </c>
      <c r="C76" t="s">
        <v>7</v>
      </c>
      <c r="D76">
        <f t="shared" si="2"/>
        <v>2</v>
      </c>
      <c r="E76">
        <f t="shared" si="3"/>
        <v>4</v>
      </c>
    </row>
    <row r="77" spans="1:5" x14ac:dyDescent="0.25">
      <c r="A77">
        <v>3</v>
      </c>
      <c r="B77">
        <v>1.4</v>
      </c>
      <c r="C77" t="s">
        <v>7</v>
      </c>
      <c r="D77">
        <f t="shared" si="2"/>
        <v>2</v>
      </c>
      <c r="E77">
        <f t="shared" si="3"/>
        <v>4</v>
      </c>
    </row>
    <row r="78" spans="1:5" x14ac:dyDescent="0.25">
      <c r="A78">
        <v>2.8</v>
      </c>
      <c r="B78">
        <v>1.4</v>
      </c>
      <c r="C78" t="s">
        <v>7</v>
      </c>
      <c r="D78">
        <f t="shared" si="2"/>
        <v>2</v>
      </c>
      <c r="E78">
        <f t="shared" si="3"/>
        <v>4</v>
      </c>
    </row>
    <row r="79" spans="1:5" x14ac:dyDescent="0.25">
      <c r="A79">
        <v>3</v>
      </c>
      <c r="B79">
        <v>1.7</v>
      </c>
      <c r="C79" t="s">
        <v>7</v>
      </c>
      <c r="D79">
        <f t="shared" si="2"/>
        <v>2</v>
      </c>
      <c r="E79">
        <f t="shared" si="3"/>
        <v>4</v>
      </c>
    </row>
    <row r="80" spans="1:5" x14ac:dyDescent="0.25">
      <c r="A80">
        <v>2.9</v>
      </c>
      <c r="B80">
        <v>1.5</v>
      </c>
      <c r="C80" t="s">
        <v>7</v>
      </c>
      <c r="D80">
        <f t="shared" si="2"/>
        <v>2</v>
      </c>
      <c r="E80">
        <f t="shared" si="3"/>
        <v>4</v>
      </c>
    </row>
    <row r="81" spans="1:5" x14ac:dyDescent="0.25">
      <c r="A81">
        <v>2.6</v>
      </c>
      <c r="B81">
        <v>1</v>
      </c>
      <c r="C81" t="s">
        <v>7</v>
      </c>
      <c r="D81">
        <f t="shared" si="2"/>
        <v>2</v>
      </c>
      <c r="E81">
        <f t="shared" si="3"/>
        <v>4</v>
      </c>
    </row>
    <row r="82" spans="1:5" x14ac:dyDescent="0.25">
      <c r="A82">
        <v>2.4</v>
      </c>
      <c r="B82">
        <v>1.1000000000000001</v>
      </c>
      <c r="C82" t="s">
        <v>7</v>
      </c>
      <c r="D82">
        <f t="shared" si="2"/>
        <v>2</v>
      </c>
      <c r="E82">
        <f t="shared" si="3"/>
        <v>4</v>
      </c>
    </row>
    <row r="83" spans="1:5" x14ac:dyDescent="0.25">
      <c r="A83">
        <v>2.4</v>
      </c>
      <c r="B83">
        <v>1</v>
      </c>
      <c r="C83" t="s">
        <v>7</v>
      </c>
      <c r="D83">
        <f t="shared" si="2"/>
        <v>2</v>
      </c>
      <c r="E83">
        <f t="shared" si="3"/>
        <v>4</v>
      </c>
    </row>
    <row r="84" spans="1:5" x14ac:dyDescent="0.25">
      <c r="A84">
        <v>2.7</v>
      </c>
      <c r="B84">
        <v>1.2</v>
      </c>
      <c r="C84" t="s">
        <v>7</v>
      </c>
      <c r="D84">
        <f t="shared" si="2"/>
        <v>2</v>
      </c>
      <c r="E84">
        <f t="shared" si="3"/>
        <v>4</v>
      </c>
    </row>
    <row r="85" spans="1:5" x14ac:dyDescent="0.25">
      <c r="A85">
        <v>2.7</v>
      </c>
      <c r="B85">
        <v>1.6</v>
      </c>
      <c r="C85" t="s">
        <v>7</v>
      </c>
      <c r="D85">
        <f t="shared" si="2"/>
        <v>2</v>
      </c>
      <c r="E85">
        <f t="shared" si="3"/>
        <v>4</v>
      </c>
    </row>
    <row r="86" spans="1:5" x14ac:dyDescent="0.25">
      <c r="A86">
        <v>3</v>
      </c>
      <c r="B86">
        <v>1.5</v>
      </c>
      <c r="C86" t="s">
        <v>7</v>
      </c>
      <c r="D86">
        <f t="shared" si="2"/>
        <v>2</v>
      </c>
      <c r="E86">
        <f t="shared" si="3"/>
        <v>4</v>
      </c>
    </row>
    <row r="87" spans="1:5" x14ac:dyDescent="0.25">
      <c r="A87">
        <v>3.4</v>
      </c>
      <c r="B87">
        <v>1.6</v>
      </c>
      <c r="C87" t="s">
        <v>7</v>
      </c>
      <c r="D87">
        <f t="shared" si="2"/>
        <v>2</v>
      </c>
      <c r="E87">
        <f t="shared" si="3"/>
        <v>4</v>
      </c>
    </row>
    <row r="88" spans="1:5" x14ac:dyDescent="0.25">
      <c r="A88">
        <v>3.1</v>
      </c>
      <c r="B88">
        <v>1.5</v>
      </c>
      <c r="C88" t="s">
        <v>7</v>
      </c>
      <c r="D88">
        <f t="shared" si="2"/>
        <v>2</v>
      </c>
      <c r="E88">
        <f t="shared" si="3"/>
        <v>4</v>
      </c>
    </row>
    <row r="89" spans="1:5" x14ac:dyDescent="0.25">
      <c r="A89">
        <v>2.2999999999999998</v>
      </c>
      <c r="B89">
        <v>1.3</v>
      </c>
      <c r="C89" t="s">
        <v>7</v>
      </c>
      <c r="D89">
        <f t="shared" si="2"/>
        <v>2</v>
      </c>
      <c r="E89">
        <f t="shared" si="3"/>
        <v>4</v>
      </c>
    </row>
    <row r="90" spans="1:5" x14ac:dyDescent="0.25">
      <c r="A90">
        <v>3</v>
      </c>
      <c r="B90">
        <v>1.3</v>
      </c>
      <c r="C90" t="s">
        <v>7</v>
      </c>
      <c r="D90">
        <f t="shared" si="2"/>
        <v>2</v>
      </c>
      <c r="E90">
        <f t="shared" si="3"/>
        <v>4</v>
      </c>
    </row>
    <row r="91" spans="1:5" x14ac:dyDescent="0.25">
      <c r="A91">
        <v>2.5</v>
      </c>
      <c r="B91">
        <v>1.3</v>
      </c>
      <c r="C91" t="s">
        <v>7</v>
      </c>
      <c r="D91">
        <f t="shared" si="2"/>
        <v>2</v>
      </c>
      <c r="E91">
        <f t="shared" si="3"/>
        <v>4</v>
      </c>
    </row>
    <row r="92" spans="1:5" x14ac:dyDescent="0.25">
      <c r="A92">
        <v>2.6</v>
      </c>
      <c r="B92">
        <v>1.2</v>
      </c>
      <c r="C92" t="s">
        <v>7</v>
      </c>
      <c r="D92">
        <f t="shared" si="2"/>
        <v>2</v>
      </c>
      <c r="E92">
        <f t="shared" si="3"/>
        <v>4</v>
      </c>
    </row>
    <row r="93" spans="1:5" x14ac:dyDescent="0.25">
      <c r="A93">
        <v>3</v>
      </c>
      <c r="B93">
        <v>1.4</v>
      </c>
      <c r="C93" t="s">
        <v>7</v>
      </c>
      <c r="D93">
        <f t="shared" si="2"/>
        <v>2</v>
      </c>
      <c r="E93">
        <f t="shared" si="3"/>
        <v>4</v>
      </c>
    </row>
    <row r="94" spans="1:5" x14ac:dyDescent="0.25">
      <c r="A94">
        <v>2.6</v>
      </c>
      <c r="B94">
        <v>1.2</v>
      </c>
      <c r="C94" t="s">
        <v>7</v>
      </c>
      <c r="D94">
        <f t="shared" si="2"/>
        <v>2</v>
      </c>
      <c r="E94">
        <f t="shared" si="3"/>
        <v>4</v>
      </c>
    </row>
    <row r="95" spans="1:5" x14ac:dyDescent="0.25">
      <c r="A95">
        <v>2.2999999999999998</v>
      </c>
      <c r="B95">
        <v>1</v>
      </c>
      <c r="C95" t="s">
        <v>7</v>
      </c>
      <c r="D95">
        <f t="shared" si="2"/>
        <v>2</v>
      </c>
      <c r="E95">
        <f t="shared" si="3"/>
        <v>4</v>
      </c>
    </row>
    <row r="96" spans="1:5" x14ac:dyDescent="0.25">
      <c r="A96">
        <v>2.7</v>
      </c>
      <c r="B96">
        <v>1.3</v>
      </c>
      <c r="C96" t="s">
        <v>7</v>
      </c>
      <c r="D96">
        <f t="shared" si="2"/>
        <v>2</v>
      </c>
      <c r="E96">
        <f t="shared" si="3"/>
        <v>4</v>
      </c>
    </row>
    <row r="97" spans="1:5" x14ac:dyDescent="0.25">
      <c r="A97">
        <v>3</v>
      </c>
      <c r="B97">
        <v>1.2</v>
      </c>
      <c r="C97" t="s">
        <v>7</v>
      </c>
      <c r="D97">
        <f t="shared" si="2"/>
        <v>2</v>
      </c>
      <c r="E97">
        <f t="shared" si="3"/>
        <v>4</v>
      </c>
    </row>
    <row r="98" spans="1:5" x14ac:dyDescent="0.25">
      <c r="A98">
        <v>2.9</v>
      </c>
      <c r="B98">
        <v>1.3</v>
      </c>
      <c r="C98" t="s">
        <v>7</v>
      </c>
      <c r="D98">
        <f t="shared" si="2"/>
        <v>2</v>
      </c>
      <c r="E98">
        <f t="shared" si="3"/>
        <v>4</v>
      </c>
    </row>
    <row r="99" spans="1:5" x14ac:dyDescent="0.25">
      <c r="A99">
        <v>2.9</v>
      </c>
      <c r="B99">
        <v>1.3</v>
      </c>
      <c r="C99" t="s">
        <v>7</v>
      </c>
      <c r="D99">
        <f t="shared" si="2"/>
        <v>2</v>
      </c>
      <c r="E99">
        <f t="shared" si="3"/>
        <v>4</v>
      </c>
    </row>
    <row r="100" spans="1:5" x14ac:dyDescent="0.25">
      <c r="A100">
        <v>2.5</v>
      </c>
      <c r="B100">
        <v>1.1000000000000001</v>
      </c>
      <c r="C100" t="s">
        <v>7</v>
      </c>
      <c r="D100">
        <f t="shared" si="2"/>
        <v>2</v>
      </c>
      <c r="E100">
        <f t="shared" si="3"/>
        <v>4</v>
      </c>
    </row>
    <row r="101" spans="1:5" x14ac:dyDescent="0.25">
      <c r="A101">
        <v>2.8</v>
      </c>
      <c r="B101">
        <v>1.3</v>
      </c>
      <c r="C101" t="s">
        <v>7</v>
      </c>
      <c r="D101">
        <f t="shared" si="2"/>
        <v>2</v>
      </c>
      <c r="E101">
        <f t="shared" si="3"/>
        <v>4</v>
      </c>
    </row>
    <row r="102" spans="1:5" x14ac:dyDescent="0.25">
      <c r="A102">
        <v>3.3</v>
      </c>
      <c r="B102">
        <v>2.5</v>
      </c>
      <c r="C102" t="s">
        <v>8</v>
      </c>
      <c r="D102">
        <f t="shared" si="2"/>
        <v>3</v>
      </c>
      <c r="E102">
        <f t="shared" si="3"/>
        <v>5</v>
      </c>
    </row>
    <row r="103" spans="1:5" x14ac:dyDescent="0.25">
      <c r="A103">
        <v>2.7</v>
      </c>
      <c r="B103">
        <v>1.9</v>
      </c>
      <c r="C103" t="s">
        <v>8</v>
      </c>
      <c r="D103">
        <f t="shared" si="2"/>
        <v>3</v>
      </c>
      <c r="E103">
        <f t="shared" si="3"/>
        <v>5</v>
      </c>
    </row>
    <row r="104" spans="1:5" x14ac:dyDescent="0.25">
      <c r="A104">
        <v>3</v>
      </c>
      <c r="B104">
        <v>2.1</v>
      </c>
      <c r="C104" t="s">
        <v>8</v>
      </c>
      <c r="D104">
        <f t="shared" si="2"/>
        <v>3</v>
      </c>
      <c r="E104">
        <f t="shared" si="3"/>
        <v>5</v>
      </c>
    </row>
    <row r="105" spans="1:5" x14ac:dyDescent="0.25">
      <c r="A105">
        <v>2.9</v>
      </c>
      <c r="B105">
        <v>1.8</v>
      </c>
      <c r="C105" t="s">
        <v>8</v>
      </c>
      <c r="D105">
        <f t="shared" si="2"/>
        <v>3</v>
      </c>
      <c r="E105">
        <f t="shared" si="3"/>
        <v>5</v>
      </c>
    </row>
    <row r="106" spans="1:5" x14ac:dyDescent="0.25">
      <c r="A106">
        <v>3</v>
      </c>
      <c r="B106">
        <v>2.2000000000000002</v>
      </c>
      <c r="C106" t="s">
        <v>8</v>
      </c>
      <c r="D106">
        <f t="shared" si="2"/>
        <v>3</v>
      </c>
      <c r="E106">
        <f t="shared" si="3"/>
        <v>5</v>
      </c>
    </row>
    <row r="107" spans="1:5" x14ac:dyDescent="0.25">
      <c r="A107">
        <v>3</v>
      </c>
      <c r="B107">
        <v>2.1</v>
      </c>
      <c r="C107" t="s">
        <v>8</v>
      </c>
      <c r="D107">
        <f t="shared" si="2"/>
        <v>3</v>
      </c>
      <c r="E107">
        <f t="shared" si="3"/>
        <v>5</v>
      </c>
    </row>
    <row r="108" spans="1:5" x14ac:dyDescent="0.25">
      <c r="A108">
        <v>2.5</v>
      </c>
      <c r="B108">
        <v>1.7</v>
      </c>
      <c r="C108" t="s">
        <v>8</v>
      </c>
      <c r="D108">
        <f t="shared" si="2"/>
        <v>3</v>
      </c>
      <c r="E108">
        <f t="shared" si="3"/>
        <v>5</v>
      </c>
    </row>
    <row r="109" spans="1:5" x14ac:dyDescent="0.25">
      <c r="A109">
        <v>2.9</v>
      </c>
      <c r="B109">
        <v>1.8</v>
      </c>
      <c r="C109" t="s">
        <v>8</v>
      </c>
      <c r="D109">
        <f t="shared" si="2"/>
        <v>3</v>
      </c>
      <c r="E109">
        <f t="shared" si="3"/>
        <v>5</v>
      </c>
    </row>
    <row r="110" spans="1:5" x14ac:dyDescent="0.25">
      <c r="A110">
        <v>2.5</v>
      </c>
      <c r="B110">
        <v>1.8</v>
      </c>
      <c r="C110" t="s">
        <v>8</v>
      </c>
      <c r="D110">
        <f t="shared" si="2"/>
        <v>3</v>
      </c>
      <c r="E110">
        <f t="shared" si="3"/>
        <v>5</v>
      </c>
    </row>
    <row r="111" spans="1:5" x14ac:dyDescent="0.25">
      <c r="A111">
        <v>3.6</v>
      </c>
      <c r="B111">
        <v>2.5</v>
      </c>
      <c r="C111" t="s">
        <v>8</v>
      </c>
      <c r="D111">
        <f t="shared" si="2"/>
        <v>3</v>
      </c>
      <c r="E111">
        <f t="shared" si="3"/>
        <v>5</v>
      </c>
    </row>
    <row r="112" spans="1:5" x14ac:dyDescent="0.25">
      <c r="A112">
        <v>3.2</v>
      </c>
      <c r="B112">
        <v>2</v>
      </c>
      <c r="C112" t="s">
        <v>8</v>
      </c>
      <c r="D112">
        <f t="shared" si="2"/>
        <v>3</v>
      </c>
      <c r="E112">
        <f t="shared" si="3"/>
        <v>5</v>
      </c>
    </row>
    <row r="113" spans="1:5" x14ac:dyDescent="0.25">
      <c r="A113">
        <v>2.7</v>
      </c>
      <c r="B113">
        <v>1.9</v>
      </c>
      <c r="C113" t="s">
        <v>8</v>
      </c>
      <c r="D113">
        <f t="shared" si="2"/>
        <v>3</v>
      </c>
      <c r="E113">
        <f t="shared" si="3"/>
        <v>5</v>
      </c>
    </row>
    <row r="114" spans="1:5" x14ac:dyDescent="0.25">
      <c r="A114">
        <v>3</v>
      </c>
      <c r="B114">
        <v>2.1</v>
      </c>
      <c r="C114" t="s">
        <v>8</v>
      </c>
      <c r="D114">
        <f t="shared" si="2"/>
        <v>3</v>
      </c>
      <c r="E114">
        <f t="shared" si="3"/>
        <v>5</v>
      </c>
    </row>
    <row r="115" spans="1:5" x14ac:dyDescent="0.25">
      <c r="A115">
        <v>2.5</v>
      </c>
      <c r="B115">
        <v>2</v>
      </c>
      <c r="C115" t="s">
        <v>8</v>
      </c>
      <c r="D115">
        <f t="shared" si="2"/>
        <v>3</v>
      </c>
      <c r="E115">
        <f t="shared" si="3"/>
        <v>5</v>
      </c>
    </row>
    <row r="116" spans="1:5" x14ac:dyDescent="0.25">
      <c r="A116">
        <v>2.8</v>
      </c>
      <c r="B116">
        <v>2.4</v>
      </c>
      <c r="C116" t="s">
        <v>8</v>
      </c>
      <c r="D116">
        <f t="shared" si="2"/>
        <v>3</v>
      </c>
      <c r="E116">
        <f t="shared" si="3"/>
        <v>5</v>
      </c>
    </row>
    <row r="117" spans="1:5" x14ac:dyDescent="0.25">
      <c r="A117">
        <v>3.2</v>
      </c>
      <c r="B117">
        <v>2.2999999999999998</v>
      </c>
      <c r="C117" t="s">
        <v>8</v>
      </c>
      <c r="D117">
        <f t="shared" si="2"/>
        <v>3</v>
      </c>
      <c r="E117">
        <f t="shared" si="3"/>
        <v>5</v>
      </c>
    </row>
    <row r="118" spans="1:5" x14ac:dyDescent="0.25">
      <c r="A118">
        <v>3</v>
      </c>
      <c r="B118">
        <v>1.8</v>
      </c>
      <c r="C118" t="s">
        <v>8</v>
      </c>
      <c r="D118">
        <f t="shared" si="2"/>
        <v>3</v>
      </c>
      <c r="E118">
        <f t="shared" si="3"/>
        <v>5</v>
      </c>
    </row>
    <row r="119" spans="1:5" x14ac:dyDescent="0.25">
      <c r="A119">
        <v>3.8</v>
      </c>
      <c r="B119">
        <v>2.2000000000000002</v>
      </c>
      <c r="C119" t="s">
        <v>8</v>
      </c>
      <c r="D119">
        <f t="shared" si="2"/>
        <v>3</v>
      </c>
      <c r="E119">
        <f t="shared" si="3"/>
        <v>5</v>
      </c>
    </row>
    <row r="120" spans="1:5" x14ac:dyDescent="0.25">
      <c r="A120">
        <v>2.6</v>
      </c>
      <c r="B120">
        <v>2.2999999999999998</v>
      </c>
      <c r="C120" t="s">
        <v>8</v>
      </c>
      <c r="D120">
        <f t="shared" si="2"/>
        <v>3</v>
      </c>
      <c r="E120">
        <f t="shared" si="3"/>
        <v>5</v>
      </c>
    </row>
    <row r="121" spans="1:5" x14ac:dyDescent="0.25">
      <c r="A121">
        <v>2.2000000000000002</v>
      </c>
      <c r="B121">
        <v>1.5</v>
      </c>
      <c r="C121" t="s">
        <v>8</v>
      </c>
      <c r="D121">
        <f t="shared" si="2"/>
        <v>3</v>
      </c>
      <c r="E121">
        <f t="shared" si="3"/>
        <v>5</v>
      </c>
    </row>
    <row r="122" spans="1:5" x14ac:dyDescent="0.25">
      <c r="A122">
        <v>3.2</v>
      </c>
      <c r="B122">
        <v>2.2999999999999998</v>
      </c>
      <c r="C122" t="s">
        <v>8</v>
      </c>
      <c r="D122">
        <f t="shared" si="2"/>
        <v>3</v>
      </c>
      <c r="E122">
        <f t="shared" si="3"/>
        <v>5</v>
      </c>
    </row>
    <row r="123" spans="1:5" x14ac:dyDescent="0.25">
      <c r="A123">
        <v>2.8</v>
      </c>
      <c r="B123">
        <v>2</v>
      </c>
      <c r="C123" t="s">
        <v>8</v>
      </c>
      <c r="D123">
        <f t="shared" si="2"/>
        <v>3</v>
      </c>
      <c r="E123">
        <f t="shared" si="3"/>
        <v>5</v>
      </c>
    </row>
    <row r="124" spans="1:5" x14ac:dyDescent="0.25">
      <c r="A124">
        <v>2.8</v>
      </c>
      <c r="B124">
        <v>2</v>
      </c>
      <c r="C124" t="s">
        <v>8</v>
      </c>
      <c r="D124">
        <f t="shared" si="2"/>
        <v>3</v>
      </c>
      <c r="E124">
        <f t="shared" si="3"/>
        <v>5</v>
      </c>
    </row>
    <row r="125" spans="1:5" x14ac:dyDescent="0.25">
      <c r="A125">
        <v>2.7</v>
      </c>
      <c r="B125">
        <v>1.8</v>
      </c>
      <c r="C125" t="s">
        <v>8</v>
      </c>
      <c r="D125">
        <f t="shared" si="2"/>
        <v>3</v>
      </c>
      <c r="E125">
        <f t="shared" si="3"/>
        <v>5</v>
      </c>
    </row>
    <row r="126" spans="1:5" x14ac:dyDescent="0.25">
      <c r="A126">
        <v>3.3</v>
      </c>
      <c r="B126">
        <v>2.1</v>
      </c>
      <c r="C126" t="s">
        <v>8</v>
      </c>
      <c r="D126">
        <f t="shared" si="2"/>
        <v>3</v>
      </c>
      <c r="E126">
        <f t="shared" si="3"/>
        <v>5</v>
      </c>
    </row>
    <row r="127" spans="1:5" x14ac:dyDescent="0.25">
      <c r="A127">
        <v>3.2</v>
      </c>
      <c r="B127">
        <v>1.8</v>
      </c>
      <c r="C127" t="s">
        <v>8</v>
      </c>
      <c r="D127">
        <f t="shared" si="2"/>
        <v>3</v>
      </c>
      <c r="E127">
        <f t="shared" si="3"/>
        <v>5</v>
      </c>
    </row>
    <row r="128" spans="1:5" x14ac:dyDescent="0.25">
      <c r="A128">
        <v>2.8</v>
      </c>
      <c r="B128">
        <v>1.8</v>
      </c>
      <c r="C128" t="s">
        <v>8</v>
      </c>
      <c r="D128">
        <f t="shared" si="2"/>
        <v>3</v>
      </c>
      <c r="E128">
        <f t="shared" si="3"/>
        <v>5</v>
      </c>
    </row>
    <row r="129" spans="1:5" x14ac:dyDescent="0.25">
      <c r="A129">
        <v>3</v>
      </c>
      <c r="B129">
        <v>1.8</v>
      </c>
      <c r="C129" t="s">
        <v>8</v>
      </c>
      <c r="D129">
        <f t="shared" si="2"/>
        <v>3</v>
      </c>
      <c r="E129">
        <f t="shared" si="3"/>
        <v>5</v>
      </c>
    </row>
    <row r="130" spans="1:5" x14ac:dyDescent="0.25">
      <c r="A130">
        <v>2.8</v>
      </c>
      <c r="B130">
        <v>2.1</v>
      </c>
      <c r="C130" t="s">
        <v>8</v>
      </c>
      <c r="D130">
        <f t="shared" si="2"/>
        <v>3</v>
      </c>
      <c r="E130">
        <f t="shared" si="3"/>
        <v>5</v>
      </c>
    </row>
    <row r="131" spans="1:5" x14ac:dyDescent="0.25">
      <c r="A131">
        <v>3</v>
      </c>
      <c r="B131">
        <v>1.6</v>
      </c>
      <c r="C131" t="s">
        <v>8</v>
      </c>
      <c r="D131">
        <f t="shared" ref="D131:D151" si="4">IF(C131="Iris-setosa",1,IF(C131="Iris-versicolor",2,3))</f>
        <v>3</v>
      </c>
      <c r="E131">
        <f t="shared" ref="E131:E151" si="5">IF(C131="Iris-setosa",3,IF(C131="Iris-versicolor",4,5))</f>
        <v>5</v>
      </c>
    </row>
    <row r="132" spans="1:5" x14ac:dyDescent="0.25">
      <c r="A132">
        <v>2.8</v>
      </c>
      <c r="B132">
        <v>1.9</v>
      </c>
      <c r="C132" t="s">
        <v>8</v>
      </c>
      <c r="D132">
        <f t="shared" si="4"/>
        <v>3</v>
      </c>
      <c r="E132">
        <f t="shared" si="5"/>
        <v>5</v>
      </c>
    </row>
    <row r="133" spans="1:5" x14ac:dyDescent="0.25">
      <c r="A133">
        <v>3.8</v>
      </c>
      <c r="B133">
        <v>2</v>
      </c>
      <c r="C133" t="s">
        <v>8</v>
      </c>
      <c r="D133">
        <f t="shared" si="4"/>
        <v>3</v>
      </c>
      <c r="E133">
        <f t="shared" si="5"/>
        <v>5</v>
      </c>
    </row>
    <row r="134" spans="1:5" x14ac:dyDescent="0.25">
      <c r="A134">
        <v>2.8</v>
      </c>
      <c r="B134">
        <v>2.2000000000000002</v>
      </c>
      <c r="C134" t="s">
        <v>8</v>
      </c>
      <c r="D134">
        <f t="shared" si="4"/>
        <v>3</v>
      </c>
      <c r="E134">
        <f t="shared" si="5"/>
        <v>5</v>
      </c>
    </row>
    <row r="135" spans="1:5" x14ac:dyDescent="0.25">
      <c r="A135">
        <v>2.8</v>
      </c>
      <c r="B135">
        <v>1.5</v>
      </c>
      <c r="C135" t="s">
        <v>8</v>
      </c>
      <c r="D135">
        <f t="shared" si="4"/>
        <v>3</v>
      </c>
      <c r="E135">
        <f t="shared" si="5"/>
        <v>5</v>
      </c>
    </row>
    <row r="136" spans="1:5" x14ac:dyDescent="0.25">
      <c r="A136">
        <v>2.6</v>
      </c>
      <c r="B136">
        <v>1.4</v>
      </c>
      <c r="C136" t="s">
        <v>8</v>
      </c>
      <c r="D136">
        <f t="shared" si="4"/>
        <v>3</v>
      </c>
      <c r="E136">
        <f t="shared" si="5"/>
        <v>5</v>
      </c>
    </row>
    <row r="137" spans="1:5" x14ac:dyDescent="0.25">
      <c r="A137">
        <v>3</v>
      </c>
      <c r="B137">
        <v>2.2999999999999998</v>
      </c>
      <c r="C137" t="s">
        <v>8</v>
      </c>
      <c r="D137">
        <f t="shared" si="4"/>
        <v>3</v>
      </c>
      <c r="E137">
        <f t="shared" si="5"/>
        <v>5</v>
      </c>
    </row>
    <row r="138" spans="1:5" x14ac:dyDescent="0.25">
      <c r="A138">
        <v>3.4</v>
      </c>
      <c r="B138">
        <v>2.4</v>
      </c>
      <c r="C138" t="s">
        <v>8</v>
      </c>
      <c r="D138">
        <f t="shared" si="4"/>
        <v>3</v>
      </c>
      <c r="E138">
        <f t="shared" si="5"/>
        <v>5</v>
      </c>
    </row>
    <row r="139" spans="1:5" x14ac:dyDescent="0.25">
      <c r="A139">
        <v>3.1</v>
      </c>
      <c r="B139">
        <v>1.8</v>
      </c>
      <c r="C139" t="s">
        <v>8</v>
      </c>
      <c r="D139">
        <f t="shared" si="4"/>
        <v>3</v>
      </c>
      <c r="E139">
        <f t="shared" si="5"/>
        <v>5</v>
      </c>
    </row>
    <row r="140" spans="1:5" x14ac:dyDescent="0.25">
      <c r="A140">
        <v>3</v>
      </c>
      <c r="B140">
        <v>1.8</v>
      </c>
      <c r="C140" t="s">
        <v>8</v>
      </c>
      <c r="D140">
        <f t="shared" si="4"/>
        <v>3</v>
      </c>
      <c r="E140">
        <f t="shared" si="5"/>
        <v>5</v>
      </c>
    </row>
    <row r="141" spans="1:5" x14ac:dyDescent="0.25">
      <c r="A141">
        <v>3.1</v>
      </c>
      <c r="B141">
        <v>2.1</v>
      </c>
      <c r="C141" t="s">
        <v>8</v>
      </c>
      <c r="D141">
        <f t="shared" si="4"/>
        <v>3</v>
      </c>
      <c r="E141">
        <f t="shared" si="5"/>
        <v>5</v>
      </c>
    </row>
    <row r="142" spans="1:5" x14ac:dyDescent="0.25">
      <c r="A142">
        <v>3.1</v>
      </c>
      <c r="B142">
        <v>2.4</v>
      </c>
      <c r="C142" t="s">
        <v>8</v>
      </c>
      <c r="D142">
        <f t="shared" si="4"/>
        <v>3</v>
      </c>
      <c r="E142">
        <f t="shared" si="5"/>
        <v>5</v>
      </c>
    </row>
    <row r="143" spans="1:5" x14ac:dyDescent="0.25">
      <c r="A143">
        <v>3.1</v>
      </c>
      <c r="B143">
        <v>2.2999999999999998</v>
      </c>
      <c r="C143" t="s">
        <v>8</v>
      </c>
      <c r="D143">
        <f t="shared" si="4"/>
        <v>3</v>
      </c>
      <c r="E143">
        <f t="shared" si="5"/>
        <v>5</v>
      </c>
    </row>
    <row r="144" spans="1:5" x14ac:dyDescent="0.25">
      <c r="A144">
        <v>2.7</v>
      </c>
      <c r="B144">
        <v>1.9</v>
      </c>
      <c r="C144" t="s">
        <v>8</v>
      </c>
      <c r="D144">
        <f t="shared" si="4"/>
        <v>3</v>
      </c>
      <c r="E144">
        <f t="shared" si="5"/>
        <v>5</v>
      </c>
    </row>
    <row r="145" spans="1:5" x14ac:dyDescent="0.25">
      <c r="A145">
        <v>3.2</v>
      </c>
      <c r="B145">
        <v>2.2999999999999998</v>
      </c>
      <c r="C145" t="s">
        <v>8</v>
      </c>
      <c r="D145">
        <f t="shared" si="4"/>
        <v>3</v>
      </c>
      <c r="E145">
        <f t="shared" si="5"/>
        <v>5</v>
      </c>
    </row>
    <row r="146" spans="1:5" x14ac:dyDescent="0.25">
      <c r="A146">
        <v>3.3</v>
      </c>
      <c r="B146">
        <v>2.5</v>
      </c>
      <c r="C146" t="s">
        <v>8</v>
      </c>
      <c r="D146">
        <f t="shared" si="4"/>
        <v>3</v>
      </c>
      <c r="E146">
        <f t="shared" si="5"/>
        <v>5</v>
      </c>
    </row>
    <row r="147" spans="1:5" x14ac:dyDescent="0.25">
      <c r="A147">
        <v>3</v>
      </c>
      <c r="B147">
        <v>2.2999999999999998</v>
      </c>
      <c r="C147" t="s">
        <v>8</v>
      </c>
      <c r="D147">
        <f t="shared" si="4"/>
        <v>3</v>
      </c>
      <c r="E147">
        <f t="shared" si="5"/>
        <v>5</v>
      </c>
    </row>
    <row r="148" spans="1:5" x14ac:dyDescent="0.25">
      <c r="A148">
        <v>2.5</v>
      </c>
      <c r="B148">
        <v>1.9</v>
      </c>
      <c r="C148" t="s">
        <v>8</v>
      </c>
      <c r="D148">
        <f t="shared" si="4"/>
        <v>3</v>
      </c>
      <c r="E148">
        <f t="shared" si="5"/>
        <v>5</v>
      </c>
    </row>
    <row r="149" spans="1:5" x14ac:dyDescent="0.25">
      <c r="A149">
        <v>3</v>
      </c>
      <c r="B149">
        <v>2</v>
      </c>
      <c r="C149" t="s">
        <v>8</v>
      </c>
      <c r="D149">
        <f t="shared" si="4"/>
        <v>3</v>
      </c>
      <c r="E149">
        <f t="shared" si="5"/>
        <v>5</v>
      </c>
    </row>
    <row r="150" spans="1:5" x14ac:dyDescent="0.25">
      <c r="A150">
        <v>3.4</v>
      </c>
      <c r="B150">
        <v>2.2999999999999998</v>
      </c>
      <c r="C150" t="s">
        <v>8</v>
      </c>
      <c r="D150">
        <f t="shared" si="4"/>
        <v>3</v>
      </c>
      <c r="E150">
        <f t="shared" si="5"/>
        <v>5</v>
      </c>
    </row>
    <row r="151" spans="1:5" x14ac:dyDescent="0.25">
      <c r="A151">
        <v>3</v>
      </c>
      <c r="B151">
        <v>1.8</v>
      </c>
      <c r="C151" t="s">
        <v>8</v>
      </c>
      <c r="D151">
        <f t="shared" si="4"/>
        <v>3</v>
      </c>
      <c r="E151">
        <f t="shared" si="5"/>
        <v>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151"/>
  <sheetViews>
    <sheetView topLeftCell="A22" workbookViewId="0">
      <selection activeCell="P32" sqref="P32"/>
    </sheetView>
  </sheetViews>
  <sheetFormatPr defaultRowHeight="15" x14ac:dyDescent="0.25"/>
  <sheetData>
    <row r="1" spans="1:5" x14ac:dyDescent="0.25">
      <c r="A1" t="s">
        <v>1</v>
      </c>
      <c r="B1" t="s">
        <v>4</v>
      </c>
      <c r="C1" t="s">
        <v>5</v>
      </c>
      <c r="D1" t="s">
        <v>9</v>
      </c>
      <c r="E1" t="s">
        <v>10</v>
      </c>
    </row>
    <row r="2" spans="1:5" x14ac:dyDescent="0.25">
      <c r="A2">
        <v>5.0999999999999996</v>
      </c>
      <c r="B2">
        <v>0.2</v>
      </c>
      <c r="C2" t="s">
        <v>6</v>
      </c>
      <c r="D2">
        <f>IF(C2="Iris-setosa",1,IF(C2="Iris-versicolor",2,3))</f>
        <v>1</v>
      </c>
      <c r="E2">
        <f>IF(C2="Iris-setosa",3,IF(C2="Iris-versicolor",4,5))</f>
        <v>3</v>
      </c>
    </row>
    <row r="3" spans="1:5" x14ac:dyDescent="0.25">
      <c r="A3">
        <v>4.9000000000000004</v>
      </c>
      <c r="B3">
        <v>0.2</v>
      </c>
      <c r="C3" t="s">
        <v>6</v>
      </c>
      <c r="D3">
        <f t="shared" ref="D3:D66" si="0">IF(C3="Iris-setosa",1,IF(C3="Iris-versicolor",2,3))</f>
        <v>1</v>
      </c>
      <c r="E3">
        <f t="shared" ref="E3:E66" si="1">IF(C3="Iris-setosa",3,IF(C3="Iris-versicolor",4,5))</f>
        <v>3</v>
      </c>
    </row>
    <row r="4" spans="1:5" x14ac:dyDescent="0.25">
      <c r="A4">
        <v>4.7</v>
      </c>
      <c r="B4">
        <v>0.2</v>
      </c>
      <c r="C4" t="s">
        <v>6</v>
      </c>
      <c r="D4">
        <f t="shared" si="0"/>
        <v>1</v>
      </c>
      <c r="E4">
        <f t="shared" si="1"/>
        <v>3</v>
      </c>
    </row>
    <row r="5" spans="1:5" x14ac:dyDescent="0.25">
      <c r="A5">
        <v>4.5999999999999996</v>
      </c>
      <c r="B5">
        <v>0.2</v>
      </c>
      <c r="C5" t="s">
        <v>6</v>
      </c>
      <c r="D5">
        <f t="shared" si="0"/>
        <v>1</v>
      </c>
      <c r="E5">
        <f t="shared" si="1"/>
        <v>3</v>
      </c>
    </row>
    <row r="6" spans="1:5" x14ac:dyDescent="0.25">
      <c r="A6">
        <v>5</v>
      </c>
      <c r="B6">
        <v>0.2</v>
      </c>
      <c r="C6" t="s">
        <v>6</v>
      </c>
      <c r="D6">
        <f t="shared" si="0"/>
        <v>1</v>
      </c>
      <c r="E6">
        <f t="shared" si="1"/>
        <v>3</v>
      </c>
    </row>
    <row r="7" spans="1:5" x14ac:dyDescent="0.25">
      <c r="A7">
        <v>5.4</v>
      </c>
      <c r="B7">
        <v>0.4</v>
      </c>
      <c r="C7" t="s">
        <v>6</v>
      </c>
      <c r="D7">
        <f t="shared" si="0"/>
        <v>1</v>
      </c>
      <c r="E7">
        <f t="shared" si="1"/>
        <v>3</v>
      </c>
    </row>
    <row r="8" spans="1:5" x14ac:dyDescent="0.25">
      <c r="A8">
        <v>4.5999999999999996</v>
      </c>
      <c r="B8">
        <v>0.3</v>
      </c>
      <c r="C8" t="s">
        <v>6</v>
      </c>
      <c r="D8">
        <f t="shared" si="0"/>
        <v>1</v>
      </c>
      <c r="E8">
        <f t="shared" si="1"/>
        <v>3</v>
      </c>
    </row>
    <row r="9" spans="1:5" x14ac:dyDescent="0.25">
      <c r="A9">
        <v>5</v>
      </c>
      <c r="B9">
        <v>0.2</v>
      </c>
      <c r="C9" t="s">
        <v>6</v>
      </c>
      <c r="D9">
        <f t="shared" si="0"/>
        <v>1</v>
      </c>
      <c r="E9">
        <f t="shared" si="1"/>
        <v>3</v>
      </c>
    </row>
    <row r="10" spans="1:5" x14ac:dyDescent="0.25">
      <c r="A10">
        <v>4.4000000000000004</v>
      </c>
      <c r="B10">
        <v>0.2</v>
      </c>
      <c r="C10" t="s">
        <v>6</v>
      </c>
      <c r="D10">
        <f t="shared" si="0"/>
        <v>1</v>
      </c>
      <c r="E10">
        <f t="shared" si="1"/>
        <v>3</v>
      </c>
    </row>
    <row r="11" spans="1:5" x14ac:dyDescent="0.25">
      <c r="A11">
        <v>4.9000000000000004</v>
      </c>
      <c r="B11">
        <v>0.1</v>
      </c>
      <c r="C11" t="s">
        <v>6</v>
      </c>
      <c r="D11">
        <f t="shared" si="0"/>
        <v>1</v>
      </c>
      <c r="E11">
        <f t="shared" si="1"/>
        <v>3</v>
      </c>
    </row>
    <row r="12" spans="1:5" x14ac:dyDescent="0.25">
      <c r="A12">
        <v>5.4</v>
      </c>
      <c r="B12">
        <v>0.2</v>
      </c>
      <c r="C12" t="s">
        <v>6</v>
      </c>
      <c r="D12">
        <f t="shared" si="0"/>
        <v>1</v>
      </c>
      <c r="E12">
        <f t="shared" si="1"/>
        <v>3</v>
      </c>
    </row>
    <row r="13" spans="1:5" x14ac:dyDescent="0.25">
      <c r="A13">
        <v>4.8</v>
      </c>
      <c r="B13">
        <v>0.2</v>
      </c>
      <c r="C13" t="s">
        <v>6</v>
      </c>
      <c r="D13">
        <f t="shared" si="0"/>
        <v>1</v>
      </c>
      <c r="E13">
        <f t="shared" si="1"/>
        <v>3</v>
      </c>
    </row>
    <row r="14" spans="1:5" x14ac:dyDescent="0.25">
      <c r="A14">
        <v>4.8</v>
      </c>
      <c r="B14">
        <v>0.1</v>
      </c>
      <c r="C14" t="s">
        <v>6</v>
      </c>
      <c r="D14">
        <f t="shared" si="0"/>
        <v>1</v>
      </c>
      <c r="E14">
        <f t="shared" si="1"/>
        <v>3</v>
      </c>
    </row>
    <row r="15" spans="1:5" x14ac:dyDescent="0.25">
      <c r="A15">
        <v>4.3</v>
      </c>
      <c r="B15">
        <v>0.1</v>
      </c>
      <c r="C15" t="s">
        <v>6</v>
      </c>
      <c r="D15">
        <f t="shared" si="0"/>
        <v>1</v>
      </c>
      <c r="E15">
        <f t="shared" si="1"/>
        <v>3</v>
      </c>
    </row>
    <row r="16" spans="1:5" x14ac:dyDescent="0.25">
      <c r="A16">
        <v>5.8</v>
      </c>
      <c r="B16">
        <v>0.2</v>
      </c>
      <c r="C16" t="s">
        <v>6</v>
      </c>
      <c r="D16">
        <f t="shared" si="0"/>
        <v>1</v>
      </c>
      <c r="E16">
        <f t="shared" si="1"/>
        <v>3</v>
      </c>
    </row>
    <row r="17" spans="1:5" x14ac:dyDescent="0.25">
      <c r="A17">
        <v>5.7</v>
      </c>
      <c r="B17">
        <v>0.4</v>
      </c>
      <c r="C17" t="s">
        <v>6</v>
      </c>
      <c r="D17">
        <f t="shared" si="0"/>
        <v>1</v>
      </c>
      <c r="E17">
        <f t="shared" si="1"/>
        <v>3</v>
      </c>
    </row>
    <row r="18" spans="1:5" x14ac:dyDescent="0.25">
      <c r="A18">
        <v>5.4</v>
      </c>
      <c r="B18">
        <v>0.4</v>
      </c>
      <c r="C18" t="s">
        <v>6</v>
      </c>
      <c r="D18">
        <f t="shared" si="0"/>
        <v>1</v>
      </c>
      <c r="E18">
        <f t="shared" si="1"/>
        <v>3</v>
      </c>
    </row>
    <row r="19" spans="1:5" x14ac:dyDescent="0.25">
      <c r="A19">
        <v>5.0999999999999996</v>
      </c>
      <c r="B19">
        <v>0.3</v>
      </c>
      <c r="C19" t="s">
        <v>6</v>
      </c>
      <c r="D19">
        <f t="shared" si="0"/>
        <v>1</v>
      </c>
      <c r="E19">
        <f t="shared" si="1"/>
        <v>3</v>
      </c>
    </row>
    <row r="20" spans="1:5" x14ac:dyDescent="0.25">
      <c r="A20">
        <v>5.7</v>
      </c>
      <c r="B20">
        <v>0.3</v>
      </c>
      <c r="C20" t="s">
        <v>6</v>
      </c>
      <c r="D20">
        <f t="shared" si="0"/>
        <v>1</v>
      </c>
      <c r="E20">
        <f t="shared" si="1"/>
        <v>3</v>
      </c>
    </row>
    <row r="21" spans="1:5" x14ac:dyDescent="0.25">
      <c r="A21">
        <v>5.0999999999999996</v>
      </c>
      <c r="B21">
        <v>0.3</v>
      </c>
      <c r="C21" t="s">
        <v>6</v>
      </c>
      <c r="D21">
        <f t="shared" si="0"/>
        <v>1</v>
      </c>
      <c r="E21">
        <f t="shared" si="1"/>
        <v>3</v>
      </c>
    </row>
    <row r="22" spans="1:5" x14ac:dyDescent="0.25">
      <c r="A22">
        <v>5.4</v>
      </c>
      <c r="B22">
        <v>0.2</v>
      </c>
      <c r="C22" t="s">
        <v>6</v>
      </c>
      <c r="D22">
        <f t="shared" si="0"/>
        <v>1</v>
      </c>
      <c r="E22">
        <f t="shared" si="1"/>
        <v>3</v>
      </c>
    </row>
    <row r="23" spans="1:5" x14ac:dyDescent="0.25">
      <c r="A23">
        <v>5.0999999999999996</v>
      </c>
      <c r="B23">
        <v>0.4</v>
      </c>
      <c r="C23" t="s">
        <v>6</v>
      </c>
      <c r="D23">
        <f t="shared" si="0"/>
        <v>1</v>
      </c>
      <c r="E23">
        <f t="shared" si="1"/>
        <v>3</v>
      </c>
    </row>
    <row r="24" spans="1:5" x14ac:dyDescent="0.25">
      <c r="A24">
        <v>4.5999999999999996</v>
      </c>
      <c r="B24">
        <v>0.2</v>
      </c>
      <c r="C24" t="s">
        <v>6</v>
      </c>
      <c r="D24">
        <f t="shared" si="0"/>
        <v>1</v>
      </c>
      <c r="E24">
        <f t="shared" si="1"/>
        <v>3</v>
      </c>
    </row>
    <row r="25" spans="1:5" x14ac:dyDescent="0.25">
      <c r="A25">
        <v>5.0999999999999996</v>
      </c>
      <c r="B25">
        <v>0.5</v>
      </c>
      <c r="C25" t="s">
        <v>6</v>
      </c>
      <c r="D25">
        <f t="shared" si="0"/>
        <v>1</v>
      </c>
      <c r="E25">
        <f t="shared" si="1"/>
        <v>3</v>
      </c>
    </row>
    <row r="26" spans="1:5" x14ac:dyDescent="0.25">
      <c r="A26">
        <v>4.8</v>
      </c>
      <c r="B26">
        <v>0.2</v>
      </c>
      <c r="C26" t="s">
        <v>6</v>
      </c>
      <c r="D26">
        <f t="shared" si="0"/>
        <v>1</v>
      </c>
      <c r="E26">
        <f t="shared" si="1"/>
        <v>3</v>
      </c>
    </row>
    <row r="27" spans="1:5" x14ac:dyDescent="0.25">
      <c r="A27">
        <v>5</v>
      </c>
      <c r="B27">
        <v>0.2</v>
      </c>
      <c r="C27" t="s">
        <v>6</v>
      </c>
      <c r="D27">
        <f t="shared" si="0"/>
        <v>1</v>
      </c>
      <c r="E27">
        <f t="shared" si="1"/>
        <v>3</v>
      </c>
    </row>
    <row r="28" spans="1:5" x14ac:dyDescent="0.25">
      <c r="A28">
        <v>5</v>
      </c>
      <c r="B28">
        <v>0.4</v>
      </c>
      <c r="C28" t="s">
        <v>6</v>
      </c>
      <c r="D28">
        <f t="shared" si="0"/>
        <v>1</v>
      </c>
      <c r="E28">
        <f t="shared" si="1"/>
        <v>3</v>
      </c>
    </row>
    <row r="29" spans="1:5" x14ac:dyDescent="0.25">
      <c r="A29">
        <v>5.2</v>
      </c>
      <c r="B29">
        <v>0.2</v>
      </c>
      <c r="C29" t="s">
        <v>6</v>
      </c>
      <c r="D29">
        <f t="shared" si="0"/>
        <v>1</v>
      </c>
      <c r="E29">
        <f t="shared" si="1"/>
        <v>3</v>
      </c>
    </row>
    <row r="30" spans="1:5" x14ac:dyDescent="0.25">
      <c r="A30">
        <v>5.2</v>
      </c>
      <c r="B30">
        <v>0.2</v>
      </c>
      <c r="C30" t="s">
        <v>6</v>
      </c>
      <c r="D30">
        <f t="shared" si="0"/>
        <v>1</v>
      </c>
      <c r="E30">
        <f t="shared" si="1"/>
        <v>3</v>
      </c>
    </row>
    <row r="31" spans="1:5" x14ac:dyDescent="0.25">
      <c r="A31">
        <v>4.7</v>
      </c>
      <c r="B31">
        <v>0.2</v>
      </c>
      <c r="C31" t="s">
        <v>6</v>
      </c>
      <c r="D31">
        <f t="shared" si="0"/>
        <v>1</v>
      </c>
      <c r="E31">
        <f t="shared" si="1"/>
        <v>3</v>
      </c>
    </row>
    <row r="32" spans="1:5" x14ac:dyDescent="0.25">
      <c r="A32">
        <v>4.8</v>
      </c>
      <c r="B32">
        <v>0.2</v>
      </c>
      <c r="C32" t="s">
        <v>6</v>
      </c>
      <c r="D32">
        <f t="shared" si="0"/>
        <v>1</v>
      </c>
      <c r="E32">
        <f t="shared" si="1"/>
        <v>3</v>
      </c>
    </row>
    <row r="33" spans="1:5" x14ac:dyDescent="0.25">
      <c r="A33">
        <v>5.4</v>
      </c>
      <c r="B33">
        <v>0.4</v>
      </c>
      <c r="C33" t="s">
        <v>6</v>
      </c>
      <c r="D33">
        <f t="shared" si="0"/>
        <v>1</v>
      </c>
      <c r="E33">
        <f t="shared" si="1"/>
        <v>3</v>
      </c>
    </row>
    <row r="34" spans="1:5" x14ac:dyDescent="0.25">
      <c r="A34">
        <v>5.2</v>
      </c>
      <c r="B34">
        <v>0.1</v>
      </c>
      <c r="C34" t="s">
        <v>6</v>
      </c>
      <c r="D34">
        <f t="shared" si="0"/>
        <v>1</v>
      </c>
      <c r="E34">
        <f t="shared" si="1"/>
        <v>3</v>
      </c>
    </row>
    <row r="35" spans="1:5" x14ac:dyDescent="0.25">
      <c r="A35">
        <v>5.5</v>
      </c>
      <c r="B35">
        <v>0.2</v>
      </c>
      <c r="C35" t="s">
        <v>6</v>
      </c>
      <c r="D35">
        <f t="shared" si="0"/>
        <v>1</v>
      </c>
      <c r="E35">
        <f t="shared" si="1"/>
        <v>3</v>
      </c>
    </row>
    <row r="36" spans="1:5" x14ac:dyDescent="0.25">
      <c r="A36">
        <v>4.9000000000000004</v>
      </c>
      <c r="B36">
        <v>0.1</v>
      </c>
      <c r="C36" t="s">
        <v>6</v>
      </c>
      <c r="D36">
        <f t="shared" si="0"/>
        <v>1</v>
      </c>
      <c r="E36">
        <f t="shared" si="1"/>
        <v>3</v>
      </c>
    </row>
    <row r="37" spans="1:5" x14ac:dyDescent="0.25">
      <c r="A37">
        <v>5</v>
      </c>
      <c r="B37">
        <v>0.2</v>
      </c>
      <c r="C37" t="s">
        <v>6</v>
      </c>
      <c r="D37">
        <f t="shared" si="0"/>
        <v>1</v>
      </c>
      <c r="E37">
        <f t="shared" si="1"/>
        <v>3</v>
      </c>
    </row>
    <row r="38" spans="1:5" x14ac:dyDescent="0.25">
      <c r="A38">
        <v>5.5</v>
      </c>
      <c r="B38">
        <v>0.2</v>
      </c>
      <c r="C38" t="s">
        <v>6</v>
      </c>
      <c r="D38">
        <f t="shared" si="0"/>
        <v>1</v>
      </c>
      <c r="E38">
        <f t="shared" si="1"/>
        <v>3</v>
      </c>
    </row>
    <row r="39" spans="1:5" x14ac:dyDescent="0.25">
      <c r="A39">
        <v>4.9000000000000004</v>
      </c>
      <c r="B39">
        <v>0.1</v>
      </c>
      <c r="C39" t="s">
        <v>6</v>
      </c>
      <c r="D39">
        <f t="shared" si="0"/>
        <v>1</v>
      </c>
      <c r="E39">
        <f t="shared" si="1"/>
        <v>3</v>
      </c>
    </row>
    <row r="40" spans="1:5" x14ac:dyDescent="0.25">
      <c r="A40">
        <v>4.4000000000000004</v>
      </c>
      <c r="B40">
        <v>0.2</v>
      </c>
      <c r="C40" t="s">
        <v>6</v>
      </c>
      <c r="D40">
        <f t="shared" si="0"/>
        <v>1</v>
      </c>
      <c r="E40">
        <f t="shared" si="1"/>
        <v>3</v>
      </c>
    </row>
    <row r="41" spans="1:5" x14ac:dyDescent="0.25">
      <c r="A41">
        <v>5.0999999999999996</v>
      </c>
      <c r="B41">
        <v>0.2</v>
      </c>
      <c r="C41" t="s">
        <v>6</v>
      </c>
      <c r="D41">
        <f t="shared" si="0"/>
        <v>1</v>
      </c>
      <c r="E41">
        <f t="shared" si="1"/>
        <v>3</v>
      </c>
    </row>
    <row r="42" spans="1:5" x14ac:dyDescent="0.25">
      <c r="A42">
        <v>5</v>
      </c>
      <c r="B42">
        <v>0.3</v>
      </c>
      <c r="C42" t="s">
        <v>6</v>
      </c>
      <c r="D42">
        <f t="shared" si="0"/>
        <v>1</v>
      </c>
      <c r="E42">
        <f t="shared" si="1"/>
        <v>3</v>
      </c>
    </row>
    <row r="43" spans="1:5" x14ac:dyDescent="0.25">
      <c r="A43">
        <v>4.5</v>
      </c>
      <c r="B43">
        <v>0.3</v>
      </c>
      <c r="C43" t="s">
        <v>6</v>
      </c>
      <c r="D43">
        <f t="shared" si="0"/>
        <v>1</v>
      </c>
      <c r="E43">
        <f t="shared" si="1"/>
        <v>3</v>
      </c>
    </row>
    <row r="44" spans="1:5" x14ac:dyDescent="0.25">
      <c r="A44">
        <v>4.4000000000000004</v>
      </c>
      <c r="B44">
        <v>0.2</v>
      </c>
      <c r="C44" t="s">
        <v>6</v>
      </c>
      <c r="D44">
        <f t="shared" si="0"/>
        <v>1</v>
      </c>
      <c r="E44">
        <f t="shared" si="1"/>
        <v>3</v>
      </c>
    </row>
    <row r="45" spans="1:5" x14ac:dyDescent="0.25">
      <c r="A45">
        <v>5</v>
      </c>
      <c r="B45">
        <v>0.6</v>
      </c>
      <c r="C45" t="s">
        <v>6</v>
      </c>
      <c r="D45">
        <f t="shared" si="0"/>
        <v>1</v>
      </c>
      <c r="E45">
        <f t="shared" si="1"/>
        <v>3</v>
      </c>
    </row>
    <row r="46" spans="1:5" x14ac:dyDescent="0.25">
      <c r="A46">
        <v>5.0999999999999996</v>
      </c>
      <c r="B46">
        <v>0.4</v>
      </c>
      <c r="C46" t="s">
        <v>6</v>
      </c>
      <c r="D46">
        <f t="shared" si="0"/>
        <v>1</v>
      </c>
      <c r="E46">
        <f t="shared" si="1"/>
        <v>3</v>
      </c>
    </row>
    <row r="47" spans="1:5" x14ac:dyDescent="0.25">
      <c r="A47">
        <v>4.8</v>
      </c>
      <c r="B47">
        <v>0.3</v>
      </c>
      <c r="C47" t="s">
        <v>6</v>
      </c>
      <c r="D47">
        <f t="shared" si="0"/>
        <v>1</v>
      </c>
      <c r="E47">
        <f t="shared" si="1"/>
        <v>3</v>
      </c>
    </row>
    <row r="48" spans="1:5" x14ac:dyDescent="0.25">
      <c r="A48">
        <v>5.0999999999999996</v>
      </c>
      <c r="B48">
        <v>0.2</v>
      </c>
      <c r="C48" t="s">
        <v>6</v>
      </c>
      <c r="D48">
        <f t="shared" si="0"/>
        <v>1</v>
      </c>
      <c r="E48">
        <f t="shared" si="1"/>
        <v>3</v>
      </c>
    </row>
    <row r="49" spans="1:5" x14ac:dyDescent="0.25">
      <c r="A49">
        <v>4.5999999999999996</v>
      </c>
      <c r="B49">
        <v>0.2</v>
      </c>
      <c r="C49" t="s">
        <v>6</v>
      </c>
      <c r="D49">
        <f t="shared" si="0"/>
        <v>1</v>
      </c>
      <c r="E49">
        <f t="shared" si="1"/>
        <v>3</v>
      </c>
    </row>
    <row r="50" spans="1:5" x14ac:dyDescent="0.25">
      <c r="A50">
        <v>5.3</v>
      </c>
      <c r="B50">
        <v>0.2</v>
      </c>
      <c r="C50" t="s">
        <v>6</v>
      </c>
      <c r="D50">
        <f t="shared" si="0"/>
        <v>1</v>
      </c>
      <c r="E50">
        <f t="shared" si="1"/>
        <v>3</v>
      </c>
    </row>
    <row r="51" spans="1:5" x14ac:dyDescent="0.25">
      <c r="A51">
        <v>5</v>
      </c>
      <c r="B51">
        <v>0.2</v>
      </c>
      <c r="C51" t="s">
        <v>6</v>
      </c>
      <c r="D51">
        <f t="shared" si="0"/>
        <v>1</v>
      </c>
      <c r="E51">
        <f t="shared" si="1"/>
        <v>3</v>
      </c>
    </row>
    <row r="52" spans="1:5" x14ac:dyDescent="0.25">
      <c r="A52">
        <v>7</v>
      </c>
      <c r="B52">
        <v>1.4</v>
      </c>
      <c r="C52" t="s">
        <v>7</v>
      </c>
      <c r="D52">
        <f t="shared" si="0"/>
        <v>2</v>
      </c>
      <c r="E52">
        <f t="shared" si="1"/>
        <v>4</v>
      </c>
    </row>
    <row r="53" spans="1:5" x14ac:dyDescent="0.25">
      <c r="A53">
        <v>6.4</v>
      </c>
      <c r="B53">
        <v>1.5</v>
      </c>
      <c r="C53" t="s">
        <v>7</v>
      </c>
      <c r="D53">
        <f t="shared" si="0"/>
        <v>2</v>
      </c>
      <c r="E53">
        <f t="shared" si="1"/>
        <v>4</v>
      </c>
    </row>
    <row r="54" spans="1:5" x14ac:dyDescent="0.25">
      <c r="A54">
        <v>6.9</v>
      </c>
      <c r="B54">
        <v>1.5</v>
      </c>
      <c r="C54" t="s">
        <v>7</v>
      </c>
      <c r="D54">
        <f t="shared" si="0"/>
        <v>2</v>
      </c>
      <c r="E54">
        <f t="shared" si="1"/>
        <v>4</v>
      </c>
    </row>
    <row r="55" spans="1:5" x14ac:dyDescent="0.25">
      <c r="A55">
        <v>5.5</v>
      </c>
      <c r="B55">
        <v>1.3</v>
      </c>
      <c r="C55" t="s">
        <v>7</v>
      </c>
      <c r="D55">
        <f t="shared" si="0"/>
        <v>2</v>
      </c>
      <c r="E55">
        <f t="shared" si="1"/>
        <v>4</v>
      </c>
    </row>
    <row r="56" spans="1:5" x14ac:dyDescent="0.25">
      <c r="A56">
        <v>6.5</v>
      </c>
      <c r="B56">
        <v>1.5</v>
      </c>
      <c r="C56" t="s">
        <v>7</v>
      </c>
      <c r="D56">
        <f t="shared" si="0"/>
        <v>2</v>
      </c>
      <c r="E56">
        <f t="shared" si="1"/>
        <v>4</v>
      </c>
    </row>
    <row r="57" spans="1:5" x14ac:dyDescent="0.25">
      <c r="A57">
        <v>5.7</v>
      </c>
      <c r="B57">
        <v>1.3</v>
      </c>
      <c r="C57" t="s">
        <v>7</v>
      </c>
      <c r="D57">
        <f t="shared" si="0"/>
        <v>2</v>
      </c>
      <c r="E57">
        <f t="shared" si="1"/>
        <v>4</v>
      </c>
    </row>
    <row r="58" spans="1:5" x14ac:dyDescent="0.25">
      <c r="A58">
        <v>6.3</v>
      </c>
      <c r="B58">
        <v>1.6</v>
      </c>
      <c r="C58" t="s">
        <v>7</v>
      </c>
      <c r="D58">
        <f t="shared" si="0"/>
        <v>2</v>
      </c>
      <c r="E58">
        <f t="shared" si="1"/>
        <v>4</v>
      </c>
    </row>
    <row r="59" spans="1:5" x14ac:dyDescent="0.25">
      <c r="A59">
        <v>4.9000000000000004</v>
      </c>
      <c r="B59">
        <v>1</v>
      </c>
      <c r="C59" t="s">
        <v>7</v>
      </c>
      <c r="D59">
        <f t="shared" si="0"/>
        <v>2</v>
      </c>
      <c r="E59">
        <f t="shared" si="1"/>
        <v>4</v>
      </c>
    </row>
    <row r="60" spans="1:5" x14ac:dyDescent="0.25">
      <c r="A60">
        <v>6.6</v>
      </c>
      <c r="B60">
        <v>1.3</v>
      </c>
      <c r="C60" t="s">
        <v>7</v>
      </c>
      <c r="D60">
        <f t="shared" si="0"/>
        <v>2</v>
      </c>
      <c r="E60">
        <f t="shared" si="1"/>
        <v>4</v>
      </c>
    </row>
    <row r="61" spans="1:5" x14ac:dyDescent="0.25">
      <c r="A61">
        <v>5.2</v>
      </c>
      <c r="B61">
        <v>1.4</v>
      </c>
      <c r="C61" t="s">
        <v>7</v>
      </c>
      <c r="D61">
        <f t="shared" si="0"/>
        <v>2</v>
      </c>
      <c r="E61">
        <f t="shared" si="1"/>
        <v>4</v>
      </c>
    </row>
    <row r="62" spans="1:5" x14ac:dyDescent="0.25">
      <c r="A62">
        <v>5</v>
      </c>
      <c r="B62">
        <v>1</v>
      </c>
      <c r="C62" t="s">
        <v>7</v>
      </c>
      <c r="D62">
        <f t="shared" si="0"/>
        <v>2</v>
      </c>
      <c r="E62">
        <f t="shared" si="1"/>
        <v>4</v>
      </c>
    </row>
    <row r="63" spans="1:5" x14ac:dyDescent="0.25">
      <c r="A63">
        <v>5.9</v>
      </c>
      <c r="B63">
        <v>1.5</v>
      </c>
      <c r="C63" t="s">
        <v>7</v>
      </c>
      <c r="D63">
        <f t="shared" si="0"/>
        <v>2</v>
      </c>
      <c r="E63">
        <f t="shared" si="1"/>
        <v>4</v>
      </c>
    </row>
    <row r="64" spans="1:5" x14ac:dyDescent="0.25">
      <c r="A64">
        <v>6</v>
      </c>
      <c r="B64">
        <v>1</v>
      </c>
      <c r="C64" t="s">
        <v>7</v>
      </c>
      <c r="D64">
        <f t="shared" si="0"/>
        <v>2</v>
      </c>
      <c r="E64">
        <f t="shared" si="1"/>
        <v>4</v>
      </c>
    </row>
    <row r="65" spans="1:5" x14ac:dyDescent="0.25">
      <c r="A65">
        <v>6.1</v>
      </c>
      <c r="B65">
        <v>1.4</v>
      </c>
      <c r="C65" t="s">
        <v>7</v>
      </c>
      <c r="D65">
        <f t="shared" si="0"/>
        <v>2</v>
      </c>
      <c r="E65">
        <f t="shared" si="1"/>
        <v>4</v>
      </c>
    </row>
    <row r="66" spans="1:5" x14ac:dyDescent="0.25">
      <c r="A66">
        <v>5.6</v>
      </c>
      <c r="B66">
        <v>1.3</v>
      </c>
      <c r="C66" t="s">
        <v>7</v>
      </c>
      <c r="D66">
        <f t="shared" si="0"/>
        <v>2</v>
      </c>
      <c r="E66">
        <f t="shared" si="1"/>
        <v>4</v>
      </c>
    </row>
    <row r="67" spans="1:5" x14ac:dyDescent="0.25">
      <c r="A67">
        <v>6.7</v>
      </c>
      <c r="B67">
        <v>1.4</v>
      </c>
      <c r="C67" t="s">
        <v>7</v>
      </c>
      <c r="D67">
        <f t="shared" ref="D67:D130" si="2">IF(C67="Iris-setosa",1,IF(C67="Iris-versicolor",2,3))</f>
        <v>2</v>
      </c>
      <c r="E67">
        <f t="shared" ref="E67:E130" si="3">IF(C67="Iris-setosa",3,IF(C67="Iris-versicolor",4,5))</f>
        <v>4</v>
      </c>
    </row>
    <row r="68" spans="1:5" x14ac:dyDescent="0.25">
      <c r="A68">
        <v>5.6</v>
      </c>
      <c r="B68">
        <v>1.5</v>
      </c>
      <c r="C68" t="s">
        <v>7</v>
      </c>
      <c r="D68">
        <f t="shared" si="2"/>
        <v>2</v>
      </c>
      <c r="E68">
        <f t="shared" si="3"/>
        <v>4</v>
      </c>
    </row>
    <row r="69" spans="1:5" x14ac:dyDescent="0.25">
      <c r="A69">
        <v>5.8</v>
      </c>
      <c r="B69">
        <v>1</v>
      </c>
      <c r="C69" t="s">
        <v>7</v>
      </c>
      <c r="D69">
        <f t="shared" si="2"/>
        <v>2</v>
      </c>
      <c r="E69">
        <f t="shared" si="3"/>
        <v>4</v>
      </c>
    </row>
    <row r="70" spans="1:5" x14ac:dyDescent="0.25">
      <c r="A70">
        <v>6.2</v>
      </c>
      <c r="B70">
        <v>1.5</v>
      </c>
      <c r="C70" t="s">
        <v>7</v>
      </c>
      <c r="D70">
        <f t="shared" si="2"/>
        <v>2</v>
      </c>
      <c r="E70">
        <f t="shared" si="3"/>
        <v>4</v>
      </c>
    </row>
    <row r="71" spans="1:5" x14ac:dyDescent="0.25">
      <c r="A71">
        <v>5.6</v>
      </c>
      <c r="B71">
        <v>1.1000000000000001</v>
      </c>
      <c r="C71" t="s">
        <v>7</v>
      </c>
      <c r="D71">
        <f t="shared" si="2"/>
        <v>2</v>
      </c>
      <c r="E71">
        <f t="shared" si="3"/>
        <v>4</v>
      </c>
    </row>
    <row r="72" spans="1:5" x14ac:dyDescent="0.25">
      <c r="A72">
        <v>5.9</v>
      </c>
      <c r="B72">
        <v>1.8</v>
      </c>
      <c r="C72" t="s">
        <v>7</v>
      </c>
      <c r="D72">
        <f t="shared" si="2"/>
        <v>2</v>
      </c>
      <c r="E72">
        <f t="shared" si="3"/>
        <v>4</v>
      </c>
    </row>
    <row r="73" spans="1:5" x14ac:dyDescent="0.25">
      <c r="A73">
        <v>6.1</v>
      </c>
      <c r="B73">
        <v>1.3</v>
      </c>
      <c r="C73" t="s">
        <v>7</v>
      </c>
      <c r="D73">
        <f t="shared" si="2"/>
        <v>2</v>
      </c>
      <c r="E73">
        <f t="shared" si="3"/>
        <v>4</v>
      </c>
    </row>
    <row r="74" spans="1:5" x14ac:dyDescent="0.25">
      <c r="A74">
        <v>6.3</v>
      </c>
      <c r="B74">
        <v>1.5</v>
      </c>
      <c r="C74" t="s">
        <v>7</v>
      </c>
      <c r="D74">
        <f t="shared" si="2"/>
        <v>2</v>
      </c>
      <c r="E74">
        <f t="shared" si="3"/>
        <v>4</v>
      </c>
    </row>
    <row r="75" spans="1:5" x14ac:dyDescent="0.25">
      <c r="A75">
        <v>6.1</v>
      </c>
      <c r="B75">
        <v>1.2</v>
      </c>
      <c r="C75" t="s">
        <v>7</v>
      </c>
      <c r="D75">
        <f t="shared" si="2"/>
        <v>2</v>
      </c>
      <c r="E75">
        <f t="shared" si="3"/>
        <v>4</v>
      </c>
    </row>
    <row r="76" spans="1:5" x14ac:dyDescent="0.25">
      <c r="A76">
        <v>6.4</v>
      </c>
      <c r="B76">
        <v>1.3</v>
      </c>
      <c r="C76" t="s">
        <v>7</v>
      </c>
      <c r="D76">
        <f t="shared" si="2"/>
        <v>2</v>
      </c>
      <c r="E76">
        <f t="shared" si="3"/>
        <v>4</v>
      </c>
    </row>
    <row r="77" spans="1:5" x14ac:dyDescent="0.25">
      <c r="A77">
        <v>6.6</v>
      </c>
      <c r="B77">
        <v>1.4</v>
      </c>
      <c r="C77" t="s">
        <v>7</v>
      </c>
      <c r="D77">
        <f t="shared" si="2"/>
        <v>2</v>
      </c>
      <c r="E77">
        <f t="shared" si="3"/>
        <v>4</v>
      </c>
    </row>
    <row r="78" spans="1:5" x14ac:dyDescent="0.25">
      <c r="A78">
        <v>6.8</v>
      </c>
      <c r="B78">
        <v>1.4</v>
      </c>
      <c r="C78" t="s">
        <v>7</v>
      </c>
      <c r="D78">
        <f t="shared" si="2"/>
        <v>2</v>
      </c>
      <c r="E78">
        <f t="shared" si="3"/>
        <v>4</v>
      </c>
    </row>
    <row r="79" spans="1:5" x14ac:dyDescent="0.25">
      <c r="A79">
        <v>6.7</v>
      </c>
      <c r="B79">
        <v>1.7</v>
      </c>
      <c r="C79" t="s">
        <v>7</v>
      </c>
      <c r="D79">
        <f t="shared" si="2"/>
        <v>2</v>
      </c>
      <c r="E79">
        <f t="shared" si="3"/>
        <v>4</v>
      </c>
    </row>
    <row r="80" spans="1:5" x14ac:dyDescent="0.25">
      <c r="A80">
        <v>6</v>
      </c>
      <c r="B80">
        <v>1.5</v>
      </c>
      <c r="C80" t="s">
        <v>7</v>
      </c>
      <c r="D80">
        <f t="shared" si="2"/>
        <v>2</v>
      </c>
      <c r="E80">
        <f t="shared" si="3"/>
        <v>4</v>
      </c>
    </row>
    <row r="81" spans="1:5" x14ac:dyDescent="0.25">
      <c r="A81">
        <v>5.7</v>
      </c>
      <c r="B81">
        <v>1</v>
      </c>
      <c r="C81" t="s">
        <v>7</v>
      </c>
      <c r="D81">
        <f t="shared" si="2"/>
        <v>2</v>
      </c>
      <c r="E81">
        <f t="shared" si="3"/>
        <v>4</v>
      </c>
    </row>
    <row r="82" spans="1:5" x14ac:dyDescent="0.25">
      <c r="A82">
        <v>5.5</v>
      </c>
      <c r="B82">
        <v>1.1000000000000001</v>
      </c>
      <c r="C82" t="s">
        <v>7</v>
      </c>
      <c r="D82">
        <f t="shared" si="2"/>
        <v>2</v>
      </c>
      <c r="E82">
        <f t="shared" si="3"/>
        <v>4</v>
      </c>
    </row>
    <row r="83" spans="1:5" x14ac:dyDescent="0.25">
      <c r="A83">
        <v>5.5</v>
      </c>
      <c r="B83">
        <v>1</v>
      </c>
      <c r="C83" t="s">
        <v>7</v>
      </c>
      <c r="D83">
        <f t="shared" si="2"/>
        <v>2</v>
      </c>
      <c r="E83">
        <f t="shared" si="3"/>
        <v>4</v>
      </c>
    </row>
    <row r="84" spans="1:5" x14ac:dyDescent="0.25">
      <c r="A84">
        <v>5.8</v>
      </c>
      <c r="B84">
        <v>1.2</v>
      </c>
      <c r="C84" t="s">
        <v>7</v>
      </c>
      <c r="D84">
        <f t="shared" si="2"/>
        <v>2</v>
      </c>
      <c r="E84">
        <f t="shared" si="3"/>
        <v>4</v>
      </c>
    </row>
    <row r="85" spans="1:5" x14ac:dyDescent="0.25">
      <c r="A85">
        <v>6</v>
      </c>
      <c r="B85">
        <v>1.6</v>
      </c>
      <c r="C85" t="s">
        <v>7</v>
      </c>
      <c r="D85">
        <f t="shared" si="2"/>
        <v>2</v>
      </c>
      <c r="E85">
        <f t="shared" si="3"/>
        <v>4</v>
      </c>
    </row>
    <row r="86" spans="1:5" x14ac:dyDescent="0.25">
      <c r="A86">
        <v>5.4</v>
      </c>
      <c r="B86">
        <v>1.5</v>
      </c>
      <c r="C86" t="s">
        <v>7</v>
      </c>
      <c r="D86">
        <f t="shared" si="2"/>
        <v>2</v>
      </c>
      <c r="E86">
        <f t="shared" si="3"/>
        <v>4</v>
      </c>
    </row>
    <row r="87" spans="1:5" x14ac:dyDescent="0.25">
      <c r="A87">
        <v>6</v>
      </c>
      <c r="B87">
        <v>1.6</v>
      </c>
      <c r="C87" t="s">
        <v>7</v>
      </c>
      <c r="D87">
        <f t="shared" si="2"/>
        <v>2</v>
      </c>
      <c r="E87">
        <f t="shared" si="3"/>
        <v>4</v>
      </c>
    </row>
    <row r="88" spans="1:5" x14ac:dyDescent="0.25">
      <c r="A88">
        <v>6.7</v>
      </c>
      <c r="B88">
        <v>1.5</v>
      </c>
      <c r="C88" t="s">
        <v>7</v>
      </c>
      <c r="D88">
        <f t="shared" si="2"/>
        <v>2</v>
      </c>
      <c r="E88">
        <f t="shared" si="3"/>
        <v>4</v>
      </c>
    </row>
    <row r="89" spans="1:5" x14ac:dyDescent="0.25">
      <c r="A89">
        <v>6.3</v>
      </c>
      <c r="B89">
        <v>1.3</v>
      </c>
      <c r="C89" t="s">
        <v>7</v>
      </c>
      <c r="D89">
        <f t="shared" si="2"/>
        <v>2</v>
      </c>
      <c r="E89">
        <f t="shared" si="3"/>
        <v>4</v>
      </c>
    </row>
    <row r="90" spans="1:5" x14ac:dyDescent="0.25">
      <c r="A90">
        <v>5.6</v>
      </c>
      <c r="B90">
        <v>1.3</v>
      </c>
      <c r="C90" t="s">
        <v>7</v>
      </c>
      <c r="D90">
        <f t="shared" si="2"/>
        <v>2</v>
      </c>
      <c r="E90">
        <f t="shared" si="3"/>
        <v>4</v>
      </c>
    </row>
    <row r="91" spans="1:5" x14ac:dyDescent="0.25">
      <c r="A91">
        <v>5.5</v>
      </c>
      <c r="B91">
        <v>1.3</v>
      </c>
      <c r="C91" t="s">
        <v>7</v>
      </c>
      <c r="D91">
        <f t="shared" si="2"/>
        <v>2</v>
      </c>
      <c r="E91">
        <f t="shared" si="3"/>
        <v>4</v>
      </c>
    </row>
    <row r="92" spans="1:5" x14ac:dyDescent="0.25">
      <c r="A92">
        <v>5.5</v>
      </c>
      <c r="B92">
        <v>1.2</v>
      </c>
      <c r="C92" t="s">
        <v>7</v>
      </c>
      <c r="D92">
        <f t="shared" si="2"/>
        <v>2</v>
      </c>
      <c r="E92">
        <f t="shared" si="3"/>
        <v>4</v>
      </c>
    </row>
    <row r="93" spans="1:5" x14ac:dyDescent="0.25">
      <c r="A93">
        <v>6.1</v>
      </c>
      <c r="B93">
        <v>1.4</v>
      </c>
      <c r="C93" t="s">
        <v>7</v>
      </c>
      <c r="D93">
        <f t="shared" si="2"/>
        <v>2</v>
      </c>
      <c r="E93">
        <f t="shared" si="3"/>
        <v>4</v>
      </c>
    </row>
    <row r="94" spans="1:5" x14ac:dyDescent="0.25">
      <c r="A94">
        <v>5.8</v>
      </c>
      <c r="B94">
        <v>1.2</v>
      </c>
      <c r="C94" t="s">
        <v>7</v>
      </c>
      <c r="D94">
        <f t="shared" si="2"/>
        <v>2</v>
      </c>
      <c r="E94">
        <f t="shared" si="3"/>
        <v>4</v>
      </c>
    </row>
    <row r="95" spans="1:5" x14ac:dyDescent="0.25">
      <c r="A95">
        <v>5</v>
      </c>
      <c r="B95">
        <v>1</v>
      </c>
      <c r="C95" t="s">
        <v>7</v>
      </c>
      <c r="D95">
        <f t="shared" si="2"/>
        <v>2</v>
      </c>
      <c r="E95">
        <f t="shared" si="3"/>
        <v>4</v>
      </c>
    </row>
    <row r="96" spans="1:5" x14ac:dyDescent="0.25">
      <c r="A96">
        <v>5.6</v>
      </c>
      <c r="B96">
        <v>1.3</v>
      </c>
      <c r="C96" t="s">
        <v>7</v>
      </c>
      <c r="D96">
        <f t="shared" si="2"/>
        <v>2</v>
      </c>
      <c r="E96">
        <f t="shared" si="3"/>
        <v>4</v>
      </c>
    </row>
    <row r="97" spans="1:5" x14ac:dyDescent="0.25">
      <c r="A97">
        <v>5.7</v>
      </c>
      <c r="B97">
        <v>1.2</v>
      </c>
      <c r="C97" t="s">
        <v>7</v>
      </c>
      <c r="D97">
        <f t="shared" si="2"/>
        <v>2</v>
      </c>
      <c r="E97">
        <f t="shared" si="3"/>
        <v>4</v>
      </c>
    </row>
    <row r="98" spans="1:5" x14ac:dyDescent="0.25">
      <c r="A98">
        <v>5.7</v>
      </c>
      <c r="B98">
        <v>1.3</v>
      </c>
      <c r="C98" t="s">
        <v>7</v>
      </c>
      <c r="D98">
        <f t="shared" si="2"/>
        <v>2</v>
      </c>
      <c r="E98">
        <f t="shared" si="3"/>
        <v>4</v>
      </c>
    </row>
    <row r="99" spans="1:5" x14ac:dyDescent="0.25">
      <c r="A99">
        <v>6.2</v>
      </c>
      <c r="B99">
        <v>1.3</v>
      </c>
      <c r="C99" t="s">
        <v>7</v>
      </c>
      <c r="D99">
        <f t="shared" si="2"/>
        <v>2</v>
      </c>
      <c r="E99">
        <f t="shared" si="3"/>
        <v>4</v>
      </c>
    </row>
    <row r="100" spans="1:5" x14ac:dyDescent="0.25">
      <c r="A100">
        <v>5.0999999999999996</v>
      </c>
      <c r="B100">
        <v>1.1000000000000001</v>
      </c>
      <c r="C100" t="s">
        <v>7</v>
      </c>
      <c r="D100">
        <f t="shared" si="2"/>
        <v>2</v>
      </c>
      <c r="E100">
        <f t="shared" si="3"/>
        <v>4</v>
      </c>
    </row>
    <row r="101" spans="1:5" x14ac:dyDescent="0.25">
      <c r="A101">
        <v>5.7</v>
      </c>
      <c r="B101">
        <v>1.3</v>
      </c>
      <c r="C101" t="s">
        <v>7</v>
      </c>
      <c r="D101">
        <f t="shared" si="2"/>
        <v>2</v>
      </c>
      <c r="E101">
        <f t="shared" si="3"/>
        <v>4</v>
      </c>
    </row>
    <row r="102" spans="1:5" x14ac:dyDescent="0.25">
      <c r="A102">
        <v>6.3</v>
      </c>
      <c r="B102">
        <v>2.5</v>
      </c>
      <c r="C102" t="s">
        <v>8</v>
      </c>
      <c r="D102">
        <f t="shared" si="2"/>
        <v>3</v>
      </c>
      <c r="E102">
        <f t="shared" si="3"/>
        <v>5</v>
      </c>
    </row>
    <row r="103" spans="1:5" x14ac:dyDescent="0.25">
      <c r="A103">
        <v>5.8</v>
      </c>
      <c r="B103">
        <v>1.9</v>
      </c>
      <c r="C103" t="s">
        <v>8</v>
      </c>
      <c r="D103">
        <f t="shared" si="2"/>
        <v>3</v>
      </c>
      <c r="E103">
        <f t="shared" si="3"/>
        <v>5</v>
      </c>
    </row>
    <row r="104" spans="1:5" x14ac:dyDescent="0.25">
      <c r="A104">
        <v>7.1</v>
      </c>
      <c r="B104">
        <v>2.1</v>
      </c>
      <c r="C104" t="s">
        <v>8</v>
      </c>
      <c r="D104">
        <f t="shared" si="2"/>
        <v>3</v>
      </c>
      <c r="E104">
        <f t="shared" si="3"/>
        <v>5</v>
      </c>
    </row>
    <row r="105" spans="1:5" x14ac:dyDescent="0.25">
      <c r="A105">
        <v>6.3</v>
      </c>
      <c r="B105">
        <v>1.8</v>
      </c>
      <c r="C105" t="s">
        <v>8</v>
      </c>
      <c r="D105">
        <f t="shared" si="2"/>
        <v>3</v>
      </c>
      <c r="E105">
        <f t="shared" si="3"/>
        <v>5</v>
      </c>
    </row>
    <row r="106" spans="1:5" x14ac:dyDescent="0.25">
      <c r="A106">
        <v>6.5</v>
      </c>
      <c r="B106">
        <v>2.2000000000000002</v>
      </c>
      <c r="C106" t="s">
        <v>8</v>
      </c>
      <c r="D106">
        <f t="shared" si="2"/>
        <v>3</v>
      </c>
      <c r="E106">
        <f t="shared" si="3"/>
        <v>5</v>
      </c>
    </row>
    <row r="107" spans="1:5" x14ac:dyDescent="0.25">
      <c r="A107">
        <v>7.6</v>
      </c>
      <c r="B107">
        <v>2.1</v>
      </c>
      <c r="C107" t="s">
        <v>8</v>
      </c>
      <c r="D107">
        <f t="shared" si="2"/>
        <v>3</v>
      </c>
      <c r="E107">
        <f t="shared" si="3"/>
        <v>5</v>
      </c>
    </row>
    <row r="108" spans="1:5" x14ac:dyDescent="0.25">
      <c r="A108">
        <v>4.9000000000000004</v>
      </c>
      <c r="B108">
        <v>1.7</v>
      </c>
      <c r="C108" t="s">
        <v>8</v>
      </c>
      <c r="D108">
        <f t="shared" si="2"/>
        <v>3</v>
      </c>
      <c r="E108">
        <f t="shared" si="3"/>
        <v>5</v>
      </c>
    </row>
    <row r="109" spans="1:5" x14ac:dyDescent="0.25">
      <c r="A109">
        <v>7.3</v>
      </c>
      <c r="B109">
        <v>1.8</v>
      </c>
      <c r="C109" t="s">
        <v>8</v>
      </c>
      <c r="D109">
        <f t="shared" si="2"/>
        <v>3</v>
      </c>
      <c r="E109">
        <f t="shared" si="3"/>
        <v>5</v>
      </c>
    </row>
    <row r="110" spans="1:5" x14ac:dyDescent="0.25">
      <c r="A110">
        <v>6.7</v>
      </c>
      <c r="B110">
        <v>1.8</v>
      </c>
      <c r="C110" t="s">
        <v>8</v>
      </c>
      <c r="D110">
        <f t="shared" si="2"/>
        <v>3</v>
      </c>
      <c r="E110">
        <f t="shared" si="3"/>
        <v>5</v>
      </c>
    </row>
    <row r="111" spans="1:5" x14ac:dyDescent="0.25">
      <c r="A111">
        <v>7.2</v>
      </c>
      <c r="B111">
        <v>2.5</v>
      </c>
      <c r="C111" t="s">
        <v>8</v>
      </c>
      <c r="D111">
        <f t="shared" si="2"/>
        <v>3</v>
      </c>
      <c r="E111">
        <f t="shared" si="3"/>
        <v>5</v>
      </c>
    </row>
    <row r="112" spans="1:5" x14ac:dyDescent="0.25">
      <c r="A112">
        <v>6.5</v>
      </c>
      <c r="B112">
        <v>2</v>
      </c>
      <c r="C112" t="s">
        <v>8</v>
      </c>
      <c r="D112">
        <f t="shared" si="2"/>
        <v>3</v>
      </c>
      <c r="E112">
        <f t="shared" si="3"/>
        <v>5</v>
      </c>
    </row>
    <row r="113" spans="1:5" x14ac:dyDescent="0.25">
      <c r="A113">
        <v>6.4</v>
      </c>
      <c r="B113">
        <v>1.9</v>
      </c>
      <c r="C113" t="s">
        <v>8</v>
      </c>
      <c r="D113">
        <f t="shared" si="2"/>
        <v>3</v>
      </c>
      <c r="E113">
        <f t="shared" si="3"/>
        <v>5</v>
      </c>
    </row>
    <row r="114" spans="1:5" x14ac:dyDescent="0.25">
      <c r="A114">
        <v>6.8</v>
      </c>
      <c r="B114">
        <v>2.1</v>
      </c>
      <c r="C114" t="s">
        <v>8</v>
      </c>
      <c r="D114">
        <f t="shared" si="2"/>
        <v>3</v>
      </c>
      <c r="E114">
        <f t="shared" si="3"/>
        <v>5</v>
      </c>
    </row>
    <row r="115" spans="1:5" x14ac:dyDescent="0.25">
      <c r="A115">
        <v>5.7</v>
      </c>
      <c r="B115">
        <v>2</v>
      </c>
      <c r="C115" t="s">
        <v>8</v>
      </c>
      <c r="D115">
        <f t="shared" si="2"/>
        <v>3</v>
      </c>
      <c r="E115">
        <f t="shared" si="3"/>
        <v>5</v>
      </c>
    </row>
    <row r="116" spans="1:5" x14ac:dyDescent="0.25">
      <c r="A116">
        <v>5.8</v>
      </c>
      <c r="B116">
        <v>2.4</v>
      </c>
      <c r="C116" t="s">
        <v>8</v>
      </c>
      <c r="D116">
        <f t="shared" si="2"/>
        <v>3</v>
      </c>
      <c r="E116">
        <f t="shared" si="3"/>
        <v>5</v>
      </c>
    </row>
    <row r="117" spans="1:5" x14ac:dyDescent="0.25">
      <c r="A117">
        <v>6.4</v>
      </c>
      <c r="B117">
        <v>2.2999999999999998</v>
      </c>
      <c r="C117" t="s">
        <v>8</v>
      </c>
      <c r="D117">
        <f t="shared" si="2"/>
        <v>3</v>
      </c>
      <c r="E117">
        <f t="shared" si="3"/>
        <v>5</v>
      </c>
    </row>
    <row r="118" spans="1:5" x14ac:dyDescent="0.25">
      <c r="A118">
        <v>6.5</v>
      </c>
      <c r="B118">
        <v>1.8</v>
      </c>
      <c r="C118" t="s">
        <v>8</v>
      </c>
      <c r="D118">
        <f t="shared" si="2"/>
        <v>3</v>
      </c>
      <c r="E118">
        <f t="shared" si="3"/>
        <v>5</v>
      </c>
    </row>
    <row r="119" spans="1:5" x14ac:dyDescent="0.25">
      <c r="A119">
        <v>7.7</v>
      </c>
      <c r="B119">
        <v>2.2000000000000002</v>
      </c>
      <c r="C119" t="s">
        <v>8</v>
      </c>
      <c r="D119">
        <f t="shared" si="2"/>
        <v>3</v>
      </c>
      <c r="E119">
        <f t="shared" si="3"/>
        <v>5</v>
      </c>
    </row>
    <row r="120" spans="1:5" x14ac:dyDescent="0.25">
      <c r="A120">
        <v>7.7</v>
      </c>
      <c r="B120">
        <v>2.2999999999999998</v>
      </c>
      <c r="C120" t="s">
        <v>8</v>
      </c>
      <c r="D120">
        <f t="shared" si="2"/>
        <v>3</v>
      </c>
      <c r="E120">
        <f t="shared" si="3"/>
        <v>5</v>
      </c>
    </row>
    <row r="121" spans="1:5" x14ac:dyDescent="0.25">
      <c r="A121">
        <v>6</v>
      </c>
      <c r="B121">
        <v>1.5</v>
      </c>
      <c r="C121" t="s">
        <v>8</v>
      </c>
      <c r="D121">
        <f t="shared" si="2"/>
        <v>3</v>
      </c>
      <c r="E121">
        <f t="shared" si="3"/>
        <v>5</v>
      </c>
    </row>
    <row r="122" spans="1:5" x14ac:dyDescent="0.25">
      <c r="A122">
        <v>6.9</v>
      </c>
      <c r="B122">
        <v>2.2999999999999998</v>
      </c>
      <c r="C122" t="s">
        <v>8</v>
      </c>
      <c r="D122">
        <f t="shared" si="2"/>
        <v>3</v>
      </c>
      <c r="E122">
        <f t="shared" si="3"/>
        <v>5</v>
      </c>
    </row>
    <row r="123" spans="1:5" x14ac:dyDescent="0.25">
      <c r="A123">
        <v>5.6</v>
      </c>
      <c r="B123">
        <v>2</v>
      </c>
      <c r="C123" t="s">
        <v>8</v>
      </c>
      <c r="D123">
        <f t="shared" si="2"/>
        <v>3</v>
      </c>
      <c r="E123">
        <f t="shared" si="3"/>
        <v>5</v>
      </c>
    </row>
    <row r="124" spans="1:5" x14ac:dyDescent="0.25">
      <c r="A124">
        <v>7.7</v>
      </c>
      <c r="B124">
        <v>2</v>
      </c>
      <c r="C124" t="s">
        <v>8</v>
      </c>
      <c r="D124">
        <f t="shared" si="2"/>
        <v>3</v>
      </c>
      <c r="E124">
        <f t="shared" si="3"/>
        <v>5</v>
      </c>
    </row>
    <row r="125" spans="1:5" x14ac:dyDescent="0.25">
      <c r="A125">
        <v>6.3</v>
      </c>
      <c r="B125">
        <v>1.8</v>
      </c>
      <c r="C125" t="s">
        <v>8</v>
      </c>
      <c r="D125">
        <f t="shared" si="2"/>
        <v>3</v>
      </c>
      <c r="E125">
        <f t="shared" si="3"/>
        <v>5</v>
      </c>
    </row>
    <row r="126" spans="1:5" x14ac:dyDescent="0.25">
      <c r="A126">
        <v>6.7</v>
      </c>
      <c r="B126">
        <v>2.1</v>
      </c>
      <c r="C126" t="s">
        <v>8</v>
      </c>
      <c r="D126">
        <f t="shared" si="2"/>
        <v>3</v>
      </c>
      <c r="E126">
        <f t="shared" si="3"/>
        <v>5</v>
      </c>
    </row>
    <row r="127" spans="1:5" x14ac:dyDescent="0.25">
      <c r="A127">
        <v>7.2</v>
      </c>
      <c r="B127">
        <v>1.8</v>
      </c>
      <c r="C127" t="s">
        <v>8</v>
      </c>
      <c r="D127">
        <f t="shared" si="2"/>
        <v>3</v>
      </c>
      <c r="E127">
        <f t="shared" si="3"/>
        <v>5</v>
      </c>
    </row>
    <row r="128" spans="1:5" x14ac:dyDescent="0.25">
      <c r="A128">
        <v>6.2</v>
      </c>
      <c r="B128">
        <v>1.8</v>
      </c>
      <c r="C128" t="s">
        <v>8</v>
      </c>
      <c r="D128">
        <f t="shared" si="2"/>
        <v>3</v>
      </c>
      <c r="E128">
        <f t="shared" si="3"/>
        <v>5</v>
      </c>
    </row>
    <row r="129" spans="1:5" x14ac:dyDescent="0.25">
      <c r="A129">
        <v>6.1</v>
      </c>
      <c r="B129">
        <v>1.8</v>
      </c>
      <c r="C129" t="s">
        <v>8</v>
      </c>
      <c r="D129">
        <f t="shared" si="2"/>
        <v>3</v>
      </c>
      <c r="E129">
        <f t="shared" si="3"/>
        <v>5</v>
      </c>
    </row>
    <row r="130" spans="1:5" x14ac:dyDescent="0.25">
      <c r="A130">
        <v>6.4</v>
      </c>
      <c r="B130">
        <v>2.1</v>
      </c>
      <c r="C130" t="s">
        <v>8</v>
      </c>
      <c r="D130">
        <f t="shared" si="2"/>
        <v>3</v>
      </c>
      <c r="E130">
        <f t="shared" si="3"/>
        <v>5</v>
      </c>
    </row>
    <row r="131" spans="1:5" x14ac:dyDescent="0.25">
      <c r="A131">
        <v>7.2</v>
      </c>
      <c r="B131">
        <v>1.6</v>
      </c>
      <c r="C131" t="s">
        <v>8</v>
      </c>
      <c r="D131">
        <f t="shared" ref="D131:D151" si="4">IF(C131="Iris-setosa",1,IF(C131="Iris-versicolor",2,3))</f>
        <v>3</v>
      </c>
      <c r="E131">
        <f t="shared" ref="E131:E151" si="5">IF(C131="Iris-setosa",3,IF(C131="Iris-versicolor",4,5))</f>
        <v>5</v>
      </c>
    </row>
    <row r="132" spans="1:5" x14ac:dyDescent="0.25">
      <c r="A132">
        <v>7.4</v>
      </c>
      <c r="B132">
        <v>1.9</v>
      </c>
      <c r="C132" t="s">
        <v>8</v>
      </c>
      <c r="D132">
        <f t="shared" si="4"/>
        <v>3</v>
      </c>
      <c r="E132">
        <f t="shared" si="5"/>
        <v>5</v>
      </c>
    </row>
    <row r="133" spans="1:5" x14ac:dyDescent="0.25">
      <c r="A133">
        <v>7.9</v>
      </c>
      <c r="B133">
        <v>2</v>
      </c>
      <c r="C133" t="s">
        <v>8</v>
      </c>
      <c r="D133">
        <f t="shared" si="4"/>
        <v>3</v>
      </c>
      <c r="E133">
        <f t="shared" si="5"/>
        <v>5</v>
      </c>
    </row>
    <row r="134" spans="1:5" x14ac:dyDescent="0.25">
      <c r="A134">
        <v>6.4</v>
      </c>
      <c r="B134">
        <v>2.2000000000000002</v>
      </c>
      <c r="C134" t="s">
        <v>8</v>
      </c>
      <c r="D134">
        <f t="shared" si="4"/>
        <v>3</v>
      </c>
      <c r="E134">
        <f t="shared" si="5"/>
        <v>5</v>
      </c>
    </row>
    <row r="135" spans="1:5" x14ac:dyDescent="0.25">
      <c r="A135">
        <v>6.3</v>
      </c>
      <c r="B135">
        <v>1.5</v>
      </c>
      <c r="C135" t="s">
        <v>8</v>
      </c>
      <c r="D135">
        <f t="shared" si="4"/>
        <v>3</v>
      </c>
      <c r="E135">
        <f t="shared" si="5"/>
        <v>5</v>
      </c>
    </row>
    <row r="136" spans="1:5" x14ac:dyDescent="0.25">
      <c r="A136">
        <v>6.1</v>
      </c>
      <c r="B136">
        <v>1.4</v>
      </c>
      <c r="C136" t="s">
        <v>8</v>
      </c>
      <c r="D136">
        <f t="shared" si="4"/>
        <v>3</v>
      </c>
      <c r="E136">
        <f t="shared" si="5"/>
        <v>5</v>
      </c>
    </row>
    <row r="137" spans="1:5" x14ac:dyDescent="0.25">
      <c r="A137">
        <v>7.7</v>
      </c>
      <c r="B137">
        <v>2.2999999999999998</v>
      </c>
      <c r="C137" t="s">
        <v>8</v>
      </c>
      <c r="D137">
        <f t="shared" si="4"/>
        <v>3</v>
      </c>
      <c r="E137">
        <f t="shared" si="5"/>
        <v>5</v>
      </c>
    </row>
    <row r="138" spans="1:5" x14ac:dyDescent="0.25">
      <c r="A138">
        <v>6.3</v>
      </c>
      <c r="B138">
        <v>2.4</v>
      </c>
      <c r="C138" t="s">
        <v>8</v>
      </c>
      <c r="D138">
        <f t="shared" si="4"/>
        <v>3</v>
      </c>
      <c r="E138">
        <f t="shared" si="5"/>
        <v>5</v>
      </c>
    </row>
    <row r="139" spans="1:5" x14ac:dyDescent="0.25">
      <c r="A139">
        <v>6.4</v>
      </c>
      <c r="B139">
        <v>1.8</v>
      </c>
      <c r="C139" t="s">
        <v>8</v>
      </c>
      <c r="D139">
        <f t="shared" si="4"/>
        <v>3</v>
      </c>
      <c r="E139">
        <f t="shared" si="5"/>
        <v>5</v>
      </c>
    </row>
    <row r="140" spans="1:5" x14ac:dyDescent="0.25">
      <c r="A140">
        <v>6</v>
      </c>
      <c r="B140">
        <v>1.8</v>
      </c>
      <c r="C140" t="s">
        <v>8</v>
      </c>
      <c r="D140">
        <f t="shared" si="4"/>
        <v>3</v>
      </c>
      <c r="E140">
        <f t="shared" si="5"/>
        <v>5</v>
      </c>
    </row>
    <row r="141" spans="1:5" x14ac:dyDescent="0.25">
      <c r="A141">
        <v>6.9</v>
      </c>
      <c r="B141">
        <v>2.1</v>
      </c>
      <c r="C141" t="s">
        <v>8</v>
      </c>
      <c r="D141">
        <f t="shared" si="4"/>
        <v>3</v>
      </c>
      <c r="E141">
        <f t="shared" si="5"/>
        <v>5</v>
      </c>
    </row>
    <row r="142" spans="1:5" x14ac:dyDescent="0.25">
      <c r="A142">
        <v>6.7</v>
      </c>
      <c r="B142">
        <v>2.4</v>
      </c>
      <c r="C142" t="s">
        <v>8</v>
      </c>
      <c r="D142">
        <f t="shared" si="4"/>
        <v>3</v>
      </c>
      <c r="E142">
        <f t="shared" si="5"/>
        <v>5</v>
      </c>
    </row>
    <row r="143" spans="1:5" x14ac:dyDescent="0.25">
      <c r="A143">
        <v>6.9</v>
      </c>
      <c r="B143">
        <v>2.2999999999999998</v>
      </c>
      <c r="C143" t="s">
        <v>8</v>
      </c>
      <c r="D143">
        <f t="shared" si="4"/>
        <v>3</v>
      </c>
      <c r="E143">
        <f t="shared" si="5"/>
        <v>5</v>
      </c>
    </row>
    <row r="144" spans="1:5" x14ac:dyDescent="0.25">
      <c r="A144">
        <v>5.8</v>
      </c>
      <c r="B144">
        <v>1.9</v>
      </c>
      <c r="C144" t="s">
        <v>8</v>
      </c>
      <c r="D144">
        <f t="shared" si="4"/>
        <v>3</v>
      </c>
      <c r="E144">
        <f t="shared" si="5"/>
        <v>5</v>
      </c>
    </row>
    <row r="145" spans="1:5" x14ac:dyDescent="0.25">
      <c r="A145">
        <v>6.8</v>
      </c>
      <c r="B145">
        <v>2.2999999999999998</v>
      </c>
      <c r="C145" t="s">
        <v>8</v>
      </c>
      <c r="D145">
        <f t="shared" si="4"/>
        <v>3</v>
      </c>
      <c r="E145">
        <f t="shared" si="5"/>
        <v>5</v>
      </c>
    </row>
    <row r="146" spans="1:5" x14ac:dyDescent="0.25">
      <c r="A146">
        <v>6.7</v>
      </c>
      <c r="B146">
        <v>2.5</v>
      </c>
      <c r="C146" t="s">
        <v>8</v>
      </c>
      <c r="D146">
        <f t="shared" si="4"/>
        <v>3</v>
      </c>
      <c r="E146">
        <f t="shared" si="5"/>
        <v>5</v>
      </c>
    </row>
    <row r="147" spans="1:5" x14ac:dyDescent="0.25">
      <c r="A147">
        <v>6.7</v>
      </c>
      <c r="B147">
        <v>2.2999999999999998</v>
      </c>
      <c r="C147" t="s">
        <v>8</v>
      </c>
      <c r="D147">
        <f t="shared" si="4"/>
        <v>3</v>
      </c>
      <c r="E147">
        <f t="shared" si="5"/>
        <v>5</v>
      </c>
    </row>
    <row r="148" spans="1:5" x14ac:dyDescent="0.25">
      <c r="A148">
        <v>6.3</v>
      </c>
      <c r="B148">
        <v>1.9</v>
      </c>
      <c r="C148" t="s">
        <v>8</v>
      </c>
      <c r="D148">
        <f t="shared" si="4"/>
        <v>3</v>
      </c>
      <c r="E148">
        <f t="shared" si="5"/>
        <v>5</v>
      </c>
    </row>
    <row r="149" spans="1:5" x14ac:dyDescent="0.25">
      <c r="A149">
        <v>6.5</v>
      </c>
      <c r="B149">
        <v>2</v>
      </c>
      <c r="C149" t="s">
        <v>8</v>
      </c>
      <c r="D149">
        <f t="shared" si="4"/>
        <v>3</v>
      </c>
      <c r="E149">
        <f t="shared" si="5"/>
        <v>5</v>
      </c>
    </row>
    <row r="150" spans="1:5" x14ac:dyDescent="0.25">
      <c r="A150">
        <v>6.2</v>
      </c>
      <c r="B150">
        <v>2.2999999999999998</v>
      </c>
      <c r="C150" t="s">
        <v>8</v>
      </c>
      <c r="D150">
        <f t="shared" si="4"/>
        <v>3</v>
      </c>
      <c r="E150">
        <f t="shared" si="5"/>
        <v>5</v>
      </c>
    </row>
    <row r="151" spans="1:5" x14ac:dyDescent="0.25">
      <c r="A151">
        <v>5.9</v>
      </c>
      <c r="B151">
        <v>1.8</v>
      </c>
      <c r="C151" t="s">
        <v>8</v>
      </c>
      <c r="D151">
        <f t="shared" si="4"/>
        <v>3</v>
      </c>
      <c r="E151">
        <f t="shared" si="5"/>
        <v>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51"/>
  <sheetViews>
    <sheetView topLeftCell="A57" workbookViewId="0">
      <selection activeCell="D80" sqref="D80"/>
    </sheetView>
  </sheetViews>
  <sheetFormatPr defaultRowHeight="15" x14ac:dyDescent="0.25"/>
  <sheetData>
    <row r="1" spans="1:5" x14ac:dyDescent="0.25">
      <c r="A1" t="s">
        <v>2</v>
      </c>
      <c r="B1" t="s">
        <v>3</v>
      </c>
      <c r="C1" t="s">
        <v>5</v>
      </c>
      <c r="D1" t="s">
        <v>9</v>
      </c>
      <c r="E1" t="s">
        <v>10</v>
      </c>
    </row>
    <row r="2" spans="1:5" x14ac:dyDescent="0.25">
      <c r="A2">
        <v>3.5</v>
      </c>
      <c r="B2">
        <v>1.4</v>
      </c>
      <c r="C2" t="s">
        <v>6</v>
      </c>
      <c r="D2">
        <f>IF(C2="Iris-setosa",1,IF(C2="Iris-versicolor",2,3))</f>
        <v>1</v>
      </c>
      <c r="E2">
        <f>IF(C2="Iris-setosa",3,IF(C2="Iris-versicolor",4,5))</f>
        <v>3</v>
      </c>
    </row>
    <row r="3" spans="1:5" x14ac:dyDescent="0.25">
      <c r="A3">
        <v>3</v>
      </c>
      <c r="B3">
        <v>1.4</v>
      </c>
      <c r="C3" t="s">
        <v>6</v>
      </c>
      <c r="D3">
        <f t="shared" ref="D3:D66" si="0">IF(C3="Iris-setosa",1,IF(C3="Iris-versicolor",2,3))</f>
        <v>1</v>
      </c>
      <c r="E3">
        <f t="shared" ref="E3:E66" si="1">IF(C3="Iris-setosa",3,IF(C3="Iris-versicolor",4,5))</f>
        <v>3</v>
      </c>
    </row>
    <row r="4" spans="1:5" x14ac:dyDescent="0.25">
      <c r="A4">
        <v>3.2</v>
      </c>
      <c r="B4">
        <v>1.3</v>
      </c>
      <c r="C4" t="s">
        <v>6</v>
      </c>
      <c r="D4">
        <f t="shared" si="0"/>
        <v>1</v>
      </c>
      <c r="E4">
        <f t="shared" si="1"/>
        <v>3</v>
      </c>
    </row>
    <row r="5" spans="1:5" x14ac:dyDescent="0.25">
      <c r="A5">
        <v>3.1</v>
      </c>
      <c r="B5">
        <v>1.5</v>
      </c>
      <c r="C5" t="s">
        <v>6</v>
      </c>
      <c r="D5">
        <f t="shared" si="0"/>
        <v>1</v>
      </c>
      <c r="E5">
        <f t="shared" si="1"/>
        <v>3</v>
      </c>
    </row>
    <row r="6" spans="1:5" x14ac:dyDescent="0.25">
      <c r="A6">
        <v>3.6</v>
      </c>
      <c r="B6">
        <v>1.4</v>
      </c>
      <c r="C6" t="s">
        <v>6</v>
      </c>
      <c r="D6">
        <f t="shared" si="0"/>
        <v>1</v>
      </c>
      <c r="E6">
        <f t="shared" si="1"/>
        <v>3</v>
      </c>
    </row>
    <row r="7" spans="1:5" x14ac:dyDescent="0.25">
      <c r="A7">
        <v>3.9</v>
      </c>
      <c r="B7">
        <v>1.7</v>
      </c>
      <c r="C7" t="s">
        <v>6</v>
      </c>
      <c r="D7">
        <f t="shared" si="0"/>
        <v>1</v>
      </c>
      <c r="E7">
        <f t="shared" si="1"/>
        <v>3</v>
      </c>
    </row>
    <row r="8" spans="1:5" x14ac:dyDescent="0.25">
      <c r="A8">
        <v>3.4</v>
      </c>
      <c r="B8">
        <v>1.4</v>
      </c>
      <c r="C8" t="s">
        <v>6</v>
      </c>
      <c r="D8">
        <f t="shared" si="0"/>
        <v>1</v>
      </c>
      <c r="E8">
        <f t="shared" si="1"/>
        <v>3</v>
      </c>
    </row>
    <row r="9" spans="1:5" x14ac:dyDescent="0.25">
      <c r="A9">
        <v>3.4</v>
      </c>
      <c r="B9">
        <v>1.5</v>
      </c>
      <c r="C9" t="s">
        <v>6</v>
      </c>
      <c r="D9">
        <f t="shared" si="0"/>
        <v>1</v>
      </c>
      <c r="E9">
        <f t="shared" si="1"/>
        <v>3</v>
      </c>
    </row>
    <row r="10" spans="1:5" x14ac:dyDescent="0.25">
      <c r="A10">
        <v>2.9</v>
      </c>
      <c r="B10">
        <v>1.4</v>
      </c>
      <c r="C10" t="s">
        <v>6</v>
      </c>
      <c r="D10">
        <f t="shared" si="0"/>
        <v>1</v>
      </c>
      <c r="E10">
        <f t="shared" si="1"/>
        <v>3</v>
      </c>
    </row>
    <row r="11" spans="1:5" x14ac:dyDescent="0.25">
      <c r="A11">
        <v>3.1</v>
      </c>
      <c r="B11">
        <v>1.5</v>
      </c>
      <c r="C11" t="s">
        <v>6</v>
      </c>
      <c r="D11">
        <f t="shared" si="0"/>
        <v>1</v>
      </c>
      <c r="E11">
        <f t="shared" si="1"/>
        <v>3</v>
      </c>
    </row>
    <row r="12" spans="1:5" x14ac:dyDescent="0.25">
      <c r="A12">
        <v>3.7</v>
      </c>
      <c r="B12">
        <v>1.5</v>
      </c>
      <c r="C12" t="s">
        <v>6</v>
      </c>
      <c r="D12">
        <f t="shared" si="0"/>
        <v>1</v>
      </c>
      <c r="E12">
        <f t="shared" si="1"/>
        <v>3</v>
      </c>
    </row>
    <row r="13" spans="1:5" x14ac:dyDescent="0.25">
      <c r="A13">
        <v>3.4</v>
      </c>
      <c r="B13">
        <v>1.6</v>
      </c>
      <c r="C13" t="s">
        <v>6</v>
      </c>
      <c r="D13">
        <f t="shared" si="0"/>
        <v>1</v>
      </c>
      <c r="E13">
        <f t="shared" si="1"/>
        <v>3</v>
      </c>
    </row>
    <row r="14" spans="1:5" x14ac:dyDescent="0.25">
      <c r="A14">
        <v>3</v>
      </c>
      <c r="B14">
        <v>1.4</v>
      </c>
      <c r="C14" t="s">
        <v>6</v>
      </c>
      <c r="D14">
        <f t="shared" si="0"/>
        <v>1</v>
      </c>
      <c r="E14">
        <f t="shared" si="1"/>
        <v>3</v>
      </c>
    </row>
    <row r="15" spans="1:5" x14ac:dyDescent="0.25">
      <c r="A15">
        <v>3</v>
      </c>
      <c r="B15">
        <v>1.1000000000000001</v>
      </c>
      <c r="C15" t="s">
        <v>6</v>
      </c>
      <c r="D15">
        <f t="shared" si="0"/>
        <v>1</v>
      </c>
      <c r="E15">
        <f t="shared" si="1"/>
        <v>3</v>
      </c>
    </row>
    <row r="16" spans="1:5" x14ac:dyDescent="0.25">
      <c r="A16">
        <v>4</v>
      </c>
      <c r="B16">
        <v>1.2</v>
      </c>
      <c r="C16" t="s">
        <v>6</v>
      </c>
      <c r="D16">
        <f t="shared" si="0"/>
        <v>1</v>
      </c>
      <c r="E16">
        <f t="shared" si="1"/>
        <v>3</v>
      </c>
    </row>
    <row r="17" spans="1:5" x14ac:dyDescent="0.25">
      <c r="A17">
        <v>4.4000000000000004</v>
      </c>
      <c r="B17">
        <v>1.5</v>
      </c>
      <c r="C17" t="s">
        <v>6</v>
      </c>
      <c r="D17">
        <f t="shared" si="0"/>
        <v>1</v>
      </c>
      <c r="E17">
        <f t="shared" si="1"/>
        <v>3</v>
      </c>
    </row>
    <row r="18" spans="1:5" x14ac:dyDescent="0.25">
      <c r="A18">
        <v>3.9</v>
      </c>
      <c r="B18">
        <v>1.3</v>
      </c>
      <c r="C18" t="s">
        <v>6</v>
      </c>
      <c r="D18">
        <f t="shared" si="0"/>
        <v>1</v>
      </c>
      <c r="E18">
        <f t="shared" si="1"/>
        <v>3</v>
      </c>
    </row>
    <row r="19" spans="1:5" x14ac:dyDescent="0.25">
      <c r="A19">
        <v>3.5</v>
      </c>
      <c r="B19">
        <v>1.4</v>
      </c>
      <c r="C19" t="s">
        <v>6</v>
      </c>
      <c r="D19">
        <f t="shared" si="0"/>
        <v>1</v>
      </c>
      <c r="E19">
        <f t="shared" si="1"/>
        <v>3</v>
      </c>
    </row>
    <row r="20" spans="1:5" x14ac:dyDescent="0.25">
      <c r="A20">
        <v>3.8</v>
      </c>
      <c r="B20">
        <v>1.7</v>
      </c>
      <c r="C20" t="s">
        <v>6</v>
      </c>
      <c r="D20">
        <f t="shared" si="0"/>
        <v>1</v>
      </c>
      <c r="E20">
        <f t="shared" si="1"/>
        <v>3</v>
      </c>
    </row>
    <row r="21" spans="1:5" x14ac:dyDescent="0.25">
      <c r="A21">
        <v>3.8</v>
      </c>
      <c r="B21">
        <v>1.5</v>
      </c>
      <c r="C21" t="s">
        <v>6</v>
      </c>
      <c r="D21">
        <f t="shared" si="0"/>
        <v>1</v>
      </c>
      <c r="E21">
        <f t="shared" si="1"/>
        <v>3</v>
      </c>
    </row>
    <row r="22" spans="1:5" x14ac:dyDescent="0.25">
      <c r="A22">
        <v>3.4</v>
      </c>
      <c r="B22">
        <v>1.7</v>
      </c>
      <c r="C22" t="s">
        <v>6</v>
      </c>
      <c r="D22">
        <f t="shared" si="0"/>
        <v>1</v>
      </c>
      <c r="E22">
        <f t="shared" si="1"/>
        <v>3</v>
      </c>
    </row>
    <row r="23" spans="1:5" x14ac:dyDescent="0.25">
      <c r="A23">
        <v>3.7</v>
      </c>
      <c r="B23">
        <v>1.5</v>
      </c>
      <c r="C23" t="s">
        <v>6</v>
      </c>
      <c r="D23">
        <f t="shared" si="0"/>
        <v>1</v>
      </c>
      <c r="E23">
        <f t="shared" si="1"/>
        <v>3</v>
      </c>
    </row>
    <row r="24" spans="1:5" x14ac:dyDescent="0.25">
      <c r="A24">
        <v>3.6</v>
      </c>
      <c r="B24">
        <v>1</v>
      </c>
      <c r="C24" t="s">
        <v>6</v>
      </c>
      <c r="D24">
        <f t="shared" si="0"/>
        <v>1</v>
      </c>
      <c r="E24">
        <f t="shared" si="1"/>
        <v>3</v>
      </c>
    </row>
    <row r="25" spans="1:5" x14ac:dyDescent="0.25">
      <c r="A25">
        <v>3.3</v>
      </c>
      <c r="B25">
        <v>1.7</v>
      </c>
      <c r="C25" t="s">
        <v>6</v>
      </c>
      <c r="D25">
        <f t="shared" si="0"/>
        <v>1</v>
      </c>
      <c r="E25">
        <f t="shared" si="1"/>
        <v>3</v>
      </c>
    </row>
    <row r="26" spans="1:5" x14ac:dyDescent="0.25">
      <c r="A26">
        <v>3.4</v>
      </c>
      <c r="B26">
        <v>1.9</v>
      </c>
      <c r="C26" t="s">
        <v>6</v>
      </c>
      <c r="D26">
        <f t="shared" si="0"/>
        <v>1</v>
      </c>
      <c r="E26">
        <f t="shared" si="1"/>
        <v>3</v>
      </c>
    </row>
    <row r="27" spans="1:5" x14ac:dyDescent="0.25">
      <c r="A27">
        <v>3</v>
      </c>
      <c r="B27">
        <v>1.6</v>
      </c>
      <c r="C27" t="s">
        <v>6</v>
      </c>
      <c r="D27">
        <f t="shared" si="0"/>
        <v>1</v>
      </c>
      <c r="E27">
        <f t="shared" si="1"/>
        <v>3</v>
      </c>
    </row>
    <row r="28" spans="1:5" x14ac:dyDescent="0.25">
      <c r="A28">
        <v>3.4</v>
      </c>
      <c r="B28">
        <v>1.6</v>
      </c>
      <c r="C28" t="s">
        <v>6</v>
      </c>
      <c r="D28">
        <f t="shared" si="0"/>
        <v>1</v>
      </c>
      <c r="E28">
        <f t="shared" si="1"/>
        <v>3</v>
      </c>
    </row>
    <row r="29" spans="1:5" x14ac:dyDescent="0.25">
      <c r="A29">
        <v>3.5</v>
      </c>
      <c r="B29">
        <v>1.5</v>
      </c>
      <c r="C29" t="s">
        <v>6</v>
      </c>
      <c r="D29">
        <f t="shared" si="0"/>
        <v>1</v>
      </c>
      <c r="E29">
        <f t="shared" si="1"/>
        <v>3</v>
      </c>
    </row>
    <row r="30" spans="1:5" x14ac:dyDescent="0.25">
      <c r="A30">
        <v>3.4</v>
      </c>
      <c r="B30">
        <v>1.4</v>
      </c>
      <c r="C30" t="s">
        <v>6</v>
      </c>
      <c r="D30">
        <f t="shared" si="0"/>
        <v>1</v>
      </c>
      <c r="E30">
        <f t="shared" si="1"/>
        <v>3</v>
      </c>
    </row>
    <row r="31" spans="1:5" x14ac:dyDescent="0.25">
      <c r="A31">
        <v>3.2</v>
      </c>
      <c r="B31">
        <v>1.6</v>
      </c>
      <c r="C31" t="s">
        <v>6</v>
      </c>
      <c r="D31">
        <f t="shared" si="0"/>
        <v>1</v>
      </c>
      <c r="E31">
        <f t="shared" si="1"/>
        <v>3</v>
      </c>
    </row>
    <row r="32" spans="1:5" x14ac:dyDescent="0.25">
      <c r="A32">
        <v>3.1</v>
      </c>
      <c r="B32">
        <v>1.6</v>
      </c>
      <c r="C32" t="s">
        <v>6</v>
      </c>
      <c r="D32">
        <f t="shared" si="0"/>
        <v>1</v>
      </c>
      <c r="E32">
        <f t="shared" si="1"/>
        <v>3</v>
      </c>
    </row>
    <row r="33" spans="1:5" x14ac:dyDescent="0.25">
      <c r="A33">
        <v>3.4</v>
      </c>
      <c r="B33">
        <v>1.5</v>
      </c>
      <c r="C33" t="s">
        <v>6</v>
      </c>
      <c r="D33">
        <f t="shared" si="0"/>
        <v>1</v>
      </c>
      <c r="E33">
        <f t="shared" si="1"/>
        <v>3</v>
      </c>
    </row>
    <row r="34" spans="1:5" x14ac:dyDescent="0.25">
      <c r="A34">
        <v>4.0999999999999996</v>
      </c>
      <c r="B34">
        <v>1.5</v>
      </c>
      <c r="C34" t="s">
        <v>6</v>
      </c>
      <c r="D34">
        <f t="shared" si="0"/>
        <v>1</v>
      </c>
      <c r="E34">
        <f t="shared" si="1"/>
        <v>3</v>
      </c>
    </row>
    <row r="35" spans="1:5" x14ac:dyDescent="0.25">
      <c r="A35">
        <v>4.2</v>
      </c>
      <c r="B35">
        <v>1.4</v>
      </c>
      <c r="C35" t="s">
        <v>6</v>
      </c>
      <c r="D35">
        <f t="shared" si="0"/>
        <v>1</v>
      </c>
      <c r="E35">
        <f t="shared" si="1"/>
        <v>3</v>
      </c>
    </row>
    <row r="36" spans="1:5" x14ac:dyDescent="0.25">
      <c r="A36">
        <v>3.1</v>
      </c>
      <c r="B36">
        <v>1.5</v>
      </c>
      <c r="C36" t="s">
        <v>6</v>
      </c>
      <c r="D36">
        <f t="shared" si="0"/>
        <v>1</v>
      </c>
      <c r="E36">
        <f t="shared" si="1"/>
        <v>3</v>
      </c>
    </row>
    <row r="37" spans="1:5" x14ac:dyDescent="0.25">
      <c r="A37">
        <v>3.2</v>
      </c>
      <c r="B37">
        <v>1.2</v>
      </c>
      <c r="C37" t="s">
        <v>6</v>
      </c>
      <c r="D37">
        <f t="shared" si="0"/>
        <v>1</v>
      </c>
      <c r="E37">
        <f t="shared" si="1"/>
        <v>3</v>
      </c>
    </row>
    <row r="38" spans="1:5" x14ac:dyDescent="0.25">
      <c r="A38">
        <v>3.5</v>
      </c>
      <c r="B38">
        <v>1.3</v>
      </c>
      <c r="C38" t="s">
        <v>6</v>
      </c>
      <c r="D38">
        <f t="shared" si="0"/>
        <v>1</v>
      </c>
      <c r="E38">
        <f t="shared" si="1"/>
        <v>3</v>
      </c>
    </row>
    <row r="39" spans="1:5" x14ac:dyDescent="0.25">
      <c r="A39">
        <v>3.1</v>
      </c>
      <c r="B39">
        <v>1.5</v>
      </c>
      <c r="C39" t="s">
        <v>6</v>
      </c>
      <c r="D39">
        <f t="shared" si="0"/>
        <v>1</v>
      </c>
      <c r="E39">
        <f t="shared" si="1"/>
        <v>3</v>
      </c>
    </row>
    <row r="40" spans="1:5" x14ac:dyDescent="0.25">
      <c r="A40">
        <v>3</v>
      </c>
      <c r="B40">
        <v>1.3</v>
      </c>
      <c r="C40" t="s">
        <v>6</v>
      </c>
      <c r="D40">
        <f t="shared" si="0"/>
        <v>1</v>
      </c>
      <c r="E40">
        <f t="shared" si="1"/>
        <v>3</v>
      </c>
    </row>
    <row r="41" spans="1:5" x14ac:dyDescent="0.25">
      <c r="A41">
        <v>3.4</v>
      </c>
      <c r="B41">
        <v>1.5</v>
      </c>
      <c r="C41" t="s">
        <v>6</v>
      </c>
      <c r="D41">
        <f t="shared" si="0"/>
        <v>1</v>
      </c>
      <c r="E41">
        <f t="shared" si="1"/>
        <v>3</v>
      </c>
    </row>
    <row r="42" spans="1:5" x14ac:dyDescent="0.25">
      <c r="A42">
        <v>3.5</v>
      </c>
      <c r="B42">
        <v>1.3</v>
      </c>
      <c r="C42" t="s">
        <v>6</v>
      </c>
      <c r="D42">
        <f t="shared" si="0"/>
        <v>1</v>
      </c>
      <c r="E42">
        <f t="shared" si="1"/>
        <v>3</v>
      </c>
    </row>
    <row r="43" spans="1:5" x14ac:dyDescent="0.25">
      <c r="A43">
        <v>2.2999999999999998</v>
      </c>
      <c r="B43">
        <v>1.3</v>
      </c>
      <c r="C43" t="s">
        <v>6</v>
      </c>
      <c r="D43">
        <f t="shared" si="0"/>
        <v>1</v>
      </c>
      <c r="E43">
        <f t="shared" si="1"/>
        <v>3</v>
      </c>
    </row>
    <row r="44" spans="1:5" x14ac:dyDescent="0.25">
      <c r="A44">
        <v>3.2</v>
      </c>
      <c r="B44">
        <v>1.3</v>
      </c>
      <c r="C44" t="s">
        <v>6</v>
      </c>
      <c r="D44">
        <f t="shared" si="0"/>
        <v>1</v>
      </c>
      <c r="E44">
        <f t="shared" si="1"/>
        <v>3</v>
      </c>
    </row>
    <row r="45" spans="1:5" x14ac:dyDescent="0.25">
      <c r="A45">
        <v>3.5</v>
      </c>
      <c r="B45">
        <v>1.6</v>
      </c>
      <c r="C45" t="s">
        <v>6</v>
      </c>
      <c r="D45">
        <f t="shared" si="0"/>
        <v>1</v>
      </c>
      <c r="E45">
        <f t="shared" si="1"/>
        <v>3</v>
      </c>
    </row>
    <row r="46" spans="1:5" x14ac:dyDescent="0.25">
      <c r="A46">
        <v>3.8</v>
      </c>
      <c r="B46">
        <v>1.9</v>
      </c>
      <c r="C46" t="s">
        <v>6</v>
      </c>
      <c r="D46">
        <f t="shared" si="0"/>
        <v>1</v>
      </c>
      <c r="E46">
        <f t="shared" si="1"/>
        <v>3</v>
      </c>
    </row>
    <row r="47" spans="1:5" x14ac:dyDescent="0.25">
      <c r="A47">
        <v>3</v>
      </c>
      <c r="B47">
        <v>1.4</v>
      </c>
      <c r="C47" t="s">
        <v>6</v>
      </c>
      <c r="D47">
        <f t="shared" si="0"/>
        <v>1</v>
      </c>
      <c r="E47">
        <f t="shared" si="1"/>
        <v>3</v>
      </c>
    </row>
    <row r="48" spans="1:5" x14ac:dyDescent="0.25">
      <c r="A48">
        <v>3.8</v>
      </c>
      <c r="B48">
        <v>1.6</v>
      </c>
      <c r="C48" t="s">
        <v>6</v>
      </c>
      <c r="D48">
        <f t="shared" si="0"/>
        <v>1</v>
      </c>
      <c r="E48">
        <f t="shared" si="1"/>
        <v>3</v>
      </c>
    </row>
    <row r="49" spans="1:5" x14ac:dyDescent="0.25">
      <c r="A49">
        <v>3.2</v>
      </c>
      <c r="B49">
        <v>1.4</v>
      </c>
      <c r="C49" t="s">
        <v>6</v>
      </c>
      <c r="D49">
        <f t="shared" si="0"/>
        <v>1</v>
      </c>
      <c r="E49">
        <f t="shared" si="1"/>
        <v>3</v>
      </c>
    </row>
    <row r="50" spans="1:5" x14ac:dyDescent="0.25">
      <c r="A50">
        <v>3.7</v>
      </c>
      <c r="B50">
        <v>1.5</v>
      </c>
      <c r="C50" t="s">
        <v>6</v>
      </c>
      <c r="D50">
        <f t="shared" si="0"/>
        <v>1</v>
      </c>
      <c r="E50">
        <f t="shared" si="1"/>
        <v>3</v>
      </c>
    </row>
    <row r="51" spans="1:5" x14ac:dyDescent="0.25">
      <c r="A51">
        <v>3.3</v>
      </c>
      <c r="B51">
        <v>1.4</v>
      </c>
      <c r="C51" t="s">
        <v>6</v>
      </c>
      <c r="D51">
        <f t="shared" si="0"/>
        <v>1</v>
      </c>
      <c r="E51">
        <f t="shared" si="1"/>
        <v>3</v>
      </c>
    </row>
    <row r="52" spans="1:5" x14ac:dyDescent="0.25">
      <c r="A52">
        <v>3.2</v>
      </c>
      <c r="B52">
        <v>4.7</v>
      </c>
      <c r="C52" t="s">
        <v>7</v>
      </c>
      <c r="D52">
        <f t="shared" si="0"/>
        <v>2</v>
      </c>
      <c r="E52">
        <f t="shared" si="1"/>
        <v>4</v>
      </c>
    </row>
    <row r="53" spans="1:5" x14ac:dyDescent="0.25">
      <c r="A53">
        <v>3.2</v>
      </c>
      <c r="B53">
        <v>4.5</v>
      </c>
      <c r="C53" t="s">
        <v>7</v>
      </c>
      <c r="D53">
        <f t="shared" si="0"/>
        <v>2</v>
      </c>
      <c r="E53">
        <f t="shared" si="1"/>
        <v>4</v>
      </c>
    </row>
    <row r="54" spans="1:5" x14ac:dyDescent="0.25">
      <c r="A54">
        <v>3.1</v>
      </c>
      <c r="B54">
        <v>4.9000000000000004</v>
      </c>
      <c r="C54" t="s">
        <v>7</v>
      </c>
      <c r="D54">
        <f t="shared" si="0"/>
        <v>2</v>
      </c>
      <c r="E54">
        <f t="shared" si="1"/>
        <v>4</v>
      </c>
    </row>
    <row r="55" spans="1:5" x14ac:dyDescent="0.25">
      <c r="A55">
        <v>2.2999999999999998</v>
      </c>
      <c r="B55">
        <v>4</v>
      </c>
      <c r="C55" t="s">
        <v>7</v>
      </c>
      <c r="D55">
        <f t="shared" si="0"/>
        <v>2</v>
      </c>
      <c r="E55">
        <f t="shared" si="1"/>
        <v>4</v>
      </c>
    </row>
    <row r="56" spans="1:5" x14ac:dyDescent="0.25">
      <c r="A56">
        <v>2.8</v>
      </c>
      <c r="B56">
        <v>4.5999999999999996</v>
      </c>
      <c r="C56" t="s">
        <v>7</v>
      </c>
      <c r="D56">
        <f t="shared" si="0"/>
        <v>2</v>
      </c>
      <c r="E56">
        <f t="shared" si="1"/>
        <v>4</v>
      </c>
    </row>
    <row r="57" spans="1:5" x14ac:dyDescent="0.25">
      <c r="A57">
        <v>2.8</v>
      </c>
      <c r="B57">
        <v>4.5</v>
      </c>
      <c r="C57" t="s">
        <v>7</v>
      </c>
      <c r="D57">
        <f t="shared" si="0"/>
        <v>2</v>
      </c>
      <c r="E57">
        <f t="shared" si="1"/>
        <v>4</v>
      </c>
    </row>
    <row r="58" spans="1:5" x14ac:dyDescent="0.25">
      <c r="A58">
        <v>3.3</v>
      </c>
      <c r="B58">
        <v>4.7</v>
      </c>
      <c r="C58" t="s">
        <v>7</v>
      </c>
      <c r="D58">
        <f t="shared" si="0"/>
        <v>2</v>
      </c>
      <c r="E58">
        <f t="shared" si="1"/>
        <v>4</v>
      </c>
    </row>
    <row r="59" spans="1:5" x14ac:dyDescent="0.25">
      <c r="A59">
        <v>2.4</v>
      </c>
      <c r="B59">
        <v>3.3</v>
      </c>
      <c r="C59" t="s">
        <v>7</v>
      </c>
      <c r="D59">
        <f t="shared" si="0"/>
        <v>2</v>
      </c>
      <c r="E59">
        <f t="shared" si="1"/>
        <v>4</v>
      </c>
    </row>
    <row r="60" spans="1:5" x14ac:dyDescent="0.25">
      <c r="A60">
        <v>2.9</v>
      </c>
      <c r="B60">
        <v>4.5999999999999996</v>
      </c>
      <c r="C60" t="s">
        <v>7</v>
      </c>
      <c r="D60">
        <f t="shared" si="0"/>
        <v>2</v>
      </c>
      <c r="E60">
        <f t="shared" si="1"/>
        <v>4</v>
      </c>
    </row>
    <row r="61" spans="1:5" x14ac:dyDescent="0.25">
      <c r="A61">
        <v>2.7</v>
      </c>
      <c r="B61">
        <v>3.9</v>
      </c>
      <c r="C61" t="s">
        <v>7</v>
      </c>
      <c r="D61">
        <f t="shared" si="0"/>
        <v>2</v>
      </c>
      <c r="E61">
        <f t="shared" si="1"/>
        <v>4</v>
      </c>
    </row>
    <row r="62" spans="1:5" x14ac:dyDescent="0.25">
      <c r="A62">
        <v>2</v>
      </c>
      <c r="B62">
        <v>3.5</v>
      </c>
      <c r="C62" t="s">
        <v>7</v>
      </c>
      <c r="D62">
        <f t="shared" si="0"/>
        <v>2</v>
      </c>
      <c r="E62">
        <f t="shared" si="1"/>
        <v>4</v>
      </c>
    </row>
    <row r="63" spans="1:5" x14ac:dyDescent="0.25">
      <c r="A63">
        <v>3</v>
      </c>
      <c r="B63">
        <v>4.2</v>
      </c>
      <c r="C63" t="s">
        <v>7</v>
      </c>
      <c r="D63">
        <f t="shared" si="0"/>
        <v>2</v>
      </c>
      <c r="E63">
        <f t="shared" si="1"/>
        <v>4</v>
      </c>
    </row>
    <row r="64" spans="1:5" x14ac:dyDescent="0.25">
      <c r="A64">
        <v>2.2000000000000002</v>
      </c>
      <c r="B64">
        <v>4</v>
      </c>
      <c r="C64" t="s">
        <v>7</v>
      </c>
      <c r="D64">
        <f t="shared" si="0"/>
        <v>2</v>
      </c>
      <c r="E64">
        <f t="shared" si="1"/>
        <v>4</v>
      </c>
    </row>
    <row r="65" spans="1:5" x14ac:dyDescent="0.25">
      <c r="A65">
        <v>2.9</v>
      </c>
      <c r="B65">
        <v>4.7</v>
      </c>
      <c r="C65" t="s">
        <v>7</v>
      </c>
      <c r="D65">
        <f t="shared" si="0"/>
        <v>2</v>
      </c>
      <c r="E65">
        <f t="shared" si="1"/>
        <v>4</v>
      </c>
    </row>
    <row r="66" spans="1:5" x14ac:dyDescent="0.25">
      <c r="A66">
        <v>2.9</v>
      </c>
      <c r="B66">
        <v>3.6</v>
      </c>
      <c r="C66" t="s">
        <v>7</v>
      </c>
      <c r="D66">
        <f t="shared" si="0"/>
        <v>2</v>
      </c>
      <c r="E66">
        <f t="shared" si="1"/>
        <v>4</v>
      </c>
    </row>
    <row r="67" spans="1:5" x14ac:dyDescent="0.25">
      <c r="A67">
        <v>3.1</v>
      </c>
      <c r="B67">
        <v>4.4000000000000004</v>
      </c>
      <c r="C67" t="s">
        <v>7</v>
      </c>
      <c r="D67">
        <f t="shared" ref="D67:D130" si="2">IF(C67="Iris-setosa",1,IF(C67="Iris-versicolor",2,3))</f>
        <v>2</v>
      </c>
      <c r="E67">
        <f t="shared" ref="E67:E130" si="3">IF(C67="Iris-setosa",3,IF(C67="Iris-versicolor",4,5))</f>
        <v>4</v>
      </c>
    </row>
    <row r="68" spans="1:5" x14ac:dyDescent="0.25">
      <c r="A68">
        <v>3</v>
      </c>
      <c r="B68">
        <v>4.5</v>
      </c>
      <c r="C68" t="s">
        <v>7</v>
      </c>
      <c r="D68">
        <f t="shared" si="2"/>
        <v>2</v>
      </c>
      <c r="E68">
        <f t="shared" si="3"/>
        <v>4</v>
      </c>
    </row>
    <row r="69" spans="1:5" x14ac:dyDescent="0.25">
      <c r="A69">
        <v>2.7</v>
      </c>
      <c r="B69">
        <v>4.0999999999999996</v>
      </c>
      <c r="C69" t="s">
        <v>7</v>
      </c>
      <c r="D69">
        <f t="shared" si="2"/>
        <v>2</v>
      </c>
      <c r="E69">
        <f t="shared" si="3"/>
        <v>4</v>
      </c>
    </row>
    <row r="70" spans="1:5" x14ac:dyDescent="0.25">
      <c r="A70">
        <v>2.2000000000000002</v>
      </c>
      <c r="B70">
        <v>4.5</v>
      </c>
      <c r="C70" t="s">
        <v>7</v>
      </c>
      <c r="D70">
        <f t="shared" si="2"/>
        <v>2</v>
      </c>
      <c r="E70">
        <f t="shared" si="3"/>
        <v>4</v>
      </c>
    </row>
    <row r="71" spans="1:5" x14ac:dyDescent="0.25">
      <c r="A71">
        <v>2.5</v>
      </c>
      <c r="B71">
        <v>3.9</v>
      </c>
      <c r="C71" t="s">
        <v>7</v>
      </c>
      <c r="D71">
        <f t="shared" si="2"/>
        <v>2</v>
      </c>
      <c r="E71">
        <f t="shared" si="3"/>
        <v>4</v>
      </c>
    </row>
    <row r="72" spans="1:5" x14ac:dyDescent="0.25">
      <c r="A72">
        <v>3.2</v>
      </c>
      <c r="B72">
        <v>4.8</v>
      </c>
      <c r="C72" t="s">
        <v>7</v>
      </c>
      <c r="D72">
        <f t="shared" si="2"/>
        <v>2</v>
      </c>
      <c r="E72">
        <f t="shared" si="3"/>
        <v>4</v>
      </c>
    </row>
    <row r="73" spans="1:5" x14ac:dyDescent="0.25">
      <c r="A73">
        <v>2.8</v>
      </c>
      <c r="B73">
        <v>4</v>
      </c>
      <c r="C73" t="s">
        <v>7</v>
      </c>
      <c r="D73">
        <f t="shared" si="2"/>
        <v>2</v>
      </c>
      <c r="E73">
        <f t="shared" si="3"/>
        <v>4</v>
      </c>
    </row>
    <row r="74" spans="1:5" x14ac:dyDescent="0.25">
      <c r="A74">
        <v>2.5</v>
      </c>
      <c r="B74">
        <v>4.9000000000000004</v>
      </c>
      <c r="C74" t="s">
        <v>7</v>
      </c>
      <c r="D74">
        <f t="shared" si="2"/>
        <v>2</v>
      </c>
      <c r="E74">
        <f t="shared" si="3"/>
        <v>4</v>
      </c>
    </row>
    <row r="75" spans="1:5" x14ac:dyDescent="0.25">
      <c r="A75">
        <v>2.8</v>
      </c>
      <c r="B75">
        <v>4.7</v>
      </c>
      <c r="C75" t="s">
        <v>7</v>
      </c>
      <c r="D75">
        <f t="shared" si="2"/>
        <v>2</v>
      </c>
      <c r="E75">
        <f t="shared" si="3"/>
        <v>4</v>
      </c>
    </row>
    <row r="76" spans="1:5" x14ac:dyDescent="0.25">
      <c r="A76">
        <v>2.9</v>
      </c>
      <c r="B76">
        <v>4.3</v>
      </c>
      <c r="C76" t="s">
        <v>7</v>
      </c>
      <c r="D76">
        <f t="shared" si="2"/>
        <v>2</v>
      </c>
      <c r="E76">
        <f t="shared" si="3"/>
        <v>4</v>
      </c>
    </row>
    <row r="77" spans="1:5" x14ac:dyDescent="0.25">
      <c r="A77">
        <v>3</v>
      </c>
      <c r="B77">
        <v>4.4000000000000004</v>
      </c>
      <c r="C77" t="s">
        <v>7</v>
      </c>
      <c r="D77">
        <f t="shared" si="2"/>
        <v>2</v>
      </c>
      <c r="E77">
        <f t="shared" si="3"/>
        <v>4</v>
      </c>
    </row>
    <row r="78" spans="1:5" x14ac:dyDescent="0.25">
      <c r="A78">
        <v>2.8</v>
      </c>
      <c r="B78">
        <v>4.8</v>
      </c>
      <c r="C78" t="s">
        <v>7</v>
      </c>
      <c r="D78">
        <f t="shared" si="2"/>
        <v>2</v>
      </c>
      <c r="E78">
        <f t="shared" si="3"/>
        <v>4</v>
      </c>
    </row>
    <row r="79" spans="1:5" x14ac:dyDescent="0.25">
      <c r="A79">
        <v>3</v>
      </c>
      <c r="B79">
        <v>5</v>
      </c>
      <c r="C79" t="s">
        <v>7</v>
      </c>
      <c r="D79">
        <f t="shared" si="2"/>
        <v>2</v>
      </c>
      <c r="E79">
        <f t="shared" si="3"/>
        <v>4</v>
      </c>
    </row>
    <row r="80" spans="1:5" x14ac:dyDescent="0.25">
      <c r="A80">
        <v>2.9</v>
      </c>
      <c r="B80">
        <v>4.5</v>
      </c>
      <c r="C80" t="s">
        <v>7</v>
      </c>
      <c r="D80">
        <f t="shared" si="2"/>
        <v>2</v>
      </c>
      <c r="E80">
        <f t="shared" si="3"/>
        <v>4</v>
      </c>
    </row>
    <row r="81" spans="1:5" x14ac:dyDescent="0.25">
      <c r="A81">
        <v>2.6</v>
      </c>
      <c r="B81">
        <v>3.5</v>
      </c>
      <c r="C81" t="s">
        <v>7</v>
      </c>
      <c r="D81">
        <f t="shared" si="2"/>
        <v>2</v>
      </c>
      <c r="E81">
        <f t="shared" si="3"/>
        <v>4</v>
      </c>
    </row>
    <row r="82" spans="1:5" x14ac:dyDescent="0.25">
      <c r="A82">
        <v>2.4</v>
      </c>
      <c r="B82">
        <v>3.8</v>
      </c>
      <c r="C82" t="s">
        <v>7</v>
      </c>
      <c r="D82">
        <f t="shared" si="2"/>
        <v>2</v>
      </c>
      <c r="E82">
        <f t="shared" si="3"/>
        <v>4</v>
      </c>
    </row>
    <row r="83" spans="1:5" x14ac:dyDescent="0.25">
      <c r="A83">
        <v>2.4</v>
      </c>
      <c r="B83">
        <v>3.7</v>
      </c>
      <c r="C83" t="s">
        <v>7</v>
      </c>
      <c r="D83">
        <f t="shared" si="2"/>
        <v>2</v>
      </c>
      <c r="E83">
        <f t="shared" si="3"/>
        <v>4</v>
      </c>
    </row>
    <row r="84" spans="1:5" x14ac:dyDescent="0.25">
      <c r="A84">
        <v>2.7</v>
      </c>
      <c r="B84">
        <v>3.9</v>
      </c>
      <c r="C84" t="s">
        <v>7</v>
      </c>
      <c r="D84">
        <f t="shared" si="2"/>
        <v>2</v>
      </c>
      <c r="E84">
        <f t="shared" si="3"/>
        <v>4</v>
      </c>
    </row>
    <row r="85" spans="1:5" x14ac:dyDescent="0.25">
      <c r="A85">
        <v>2.7</v>
      </c>
      <c r="B85">
        <v>5.0999999999999996</v>
      </c>
      <c r="C85" t="s">
        <v>7</v>
      </c>
      <c r="D85">
        <f t="shared" si="2"/>
        <v>2</v>
      </c>
      <c r="E85">
        <f t="shared" si="3"/>
        <v>4</v>
      </c>
    </row>
    <row r="86" spans="1:5" x14ac:dyDescent="0.25">
      <c r="A86">
        <v>3</v>
      </c>
      <c r="B86">
        <v>4.5</v>
      </c>
      <c r="C86" t="s">
        <v>7</v>
      </c>
      <c r="D86">
        <f t="shared" si="2"/>
        <v>2</v>
      </c>
      <c r="E86">
        <f t="shared" si="3"/>
        <v>4</v>
      </c>
    </row>
    <row r="87" spans="1:5" x14ac:dyDescent="0.25">
      <c r="A87">
        <v>3.4</v>
      </c>
      <c r="B87">
        <v>4.5</v>
      </c>
      <c r="C87" t="s">
        <v>7</v>
      </c>
      <c r="D87">
        <f t="shared" si="2"/>
        <v>2</v>
      </c>
      <c r="E87">
        <f t="shared" si="3"/>
        <v>4</v>
      </c>
    </row>
    <row r="88" spans="1:5" x14ac:dyDescent="0.25">
      <c r="A88">
        <v>3.1</v>
      </c>
      <c r="B88">
        <v>4.7</v>
      </c>
      <c r="C88" t="s">
        <v>7</v>
      </c>
      <c r="D88">
        <f t="shared" si="2"/>
        <v>2</v>
      </c>
      <c r="E88">
        <f t="shared" si="3"/>
        <v>4</v>
      </c>
    </row>
    <row r="89" spans="1:5" x14ac:dyDescent="0.25">
      <c r="A89">
        <v>2.2999999999999998</v>
      </c>
      <c r="B89">
        <v>4.4000000000000004</v>
      </c>
      <c r="C89" t="s">
        <v>7</v>
      </c>
      <c r="D89">
        <f t="shared" si="2"/>
        <v>2</v>
      </c>
      <c r="E89">
        <f t="shared" si="3"/>
        <v>4</v>
      </c>
    </row>
    <row r="90" spans="1:5" x14ac:dyDescent="0.25">
      <c r="A90">
        <v>3</v>
      </c>
      <c r="B90">
        <v>4.0999999999999996</v>
      </c>
      <c r="C90" t="s">
        <v>7</v>
      </c>
      <c r="D90">
        <f t="shared" si="2"/>
        <v>2</v>
      </c>
      <c r="E90">
        <f t="shared" si="3"/>
        <v>4</v>
      </c>
    </row>
    <row r="91" spans="1:5" x14ac:dyDescent="0.25">
      <c r="A91">
        <v>2.5</v>
      </c>
      <c r="B91">
        <v>4</v>
      </c>
      <c r="C91" t="s">
        <v>7</v>
      </c>
      <c r="D91">
        <f t="shared" si="2"/>
        <v>2</v>
      </c>
      <c r="E91">
        <f t="shared" si="3"/>
        <v>4</v>
      </c>
    </row>
    <row r="92" spans="1:5" x14ac:dyDescent="0.25">
      <c r="A92">
        <v>2.6</v>
      </c>
      <c r="B92">
        <v>4.4000000000000004</v>
      </c>
      <c r="C92" t="s">
        <v>7</v>
      </c>
      <c r="D92">
        <f t="shared" si="2"/>
        <v>2</v>
      </c>
      <c r="E92">
        <f t="shared" si="3"/>
        <v>4</v>
      </c>
    </row>
    <row r="93" spans="1:5" x14ac:dyDescent="0.25">
      <c r="A93">
        <v>3</v>
      </c>
      <c r="B93">
        <v>4.5999999999999996</v>
      </c>
      <c r="C93" t="s">
        <v>7</v>
      </c>
      <c r="D93">
        <f t="shared" si="2"/>
        <v>2</v>
      </c>
      <c r="E93">
        <f t="shared" si="3"/>
        <v>4</v>
      </c>
    </row>
    <row r="94" spans="1:5" x14ac:dyDescent="0.25">
      <c r="A94">
        <v>2.6</v>
      </c>
      <c r="B94">
        <v>4</v>
      </c>
      <c r="C94" t="s">
        <v>7</v>
      </c>
      <c r="D94">
        <f t="shared" si="2"/>
        <v>2</v>
      </c>
      <c r="E94">
        <f t="shared" si="3"/>
        <v>4</v>
      </c>
    </row>
    <row r="95" spans="1:5" x14ac:dyDescent="0.25">
      <c r="A95">
        <v>2.2999999999999998</v>
      </c>
      <c r="B95">
        <v>3.3</v>
      </c>
      <c r="C95" t="s">
        <v>7</v>
      </c>
      <c r="D95">
        <f t="shared" si="2"/>
        <v>2</v>
      </c>
      <c r="E95">
        <f t="shared" si="3"/>
        <v>4</v>
      </c>
    </row>
    <row r="96" spans="1:5" x14ac:dyDescent="0.25">
      <c r="A96">
        <v>2.7</v>
      </c>
      <c r="B96">
        <v>4.2</v>
      </c>
      <c r="C96" t="s">
        <v>7</v>
      </c>
      <c r="D96">
        <f t="shared" si="2"/>
        <v>2</v>
      </c>
      <c r="E96">
        <f t="shared" si="3"/>
        <v>4</v>
      </c>
    </row>
    <row r="97" spans="1:5" x14ac:dyDescent="0.25">
      <c r="A97">
        <v>3</v>
      </c>
      <c r="B97">
        <v>4.2</v>
      </c>
      <c r="C97" t="s">
        <v>7</v>
      </c>
      <c r="D97">
        <f t="shared" si="2"/>
        <v>2</v>
      </c>
      <c r="E97">
        <f t="shared" si="3"/>
        <v>4</v>
      </c>
    </row>
    <row r="98" spans="1:5" x14ac:dyDescent="0.25">
      <c r="A98">
        <v>2.9</v>
      </c>
      <c r="B98">
        <v>4.2</v>
      </c>
      <c r="C98" t="s">
        <v>7</v>
      </c>
      <c r="D98">
        <f t="shared" si="2"/>
        <v>2</v>
      </c>
      <c r="E98">
        <f t="shared" si="3"/>
        <v>4</v>
      </c>
    </row>
    <row r="99" spans="1:5" x14ac:dyDescent="0.25">
      <c r="A99">
        <v>2.9</v>
      </c>
      <c r="B99">
        <v>4.3</v>
      </c>
      <c r="C99" t="s">
        <v>7</v>
      </c>
      <c r="D99">
        <f t="shared" si="2"/>
        <v>2</v>
      </c>
      <c r="E99">
        <f t="shared" si="3"/>
        <v>4</v>
      </c>
    </row>
    <row r="100" spans="1:5" x14ac:dyDescent="0.25">
      <c r="A100">
        <v>2.5</v>
      </c>
      <c r="B100">
        <v>3</v>
      </c>
      <c r="C100" t="s">
        <v>7</v>
      </c>
      <c r="D100">
        <f t="shared" si="2"/>
        <v>2</v>
      </c>
      <c r="E100">
        <f t="shared" si="3"/>
        <v>4</v>
      </c>
    </row>
    <row r="101" spans="1:5" x14ac:dyDescent="0.25">
      <c r="A101">
        <v>2.8</v>
      </c>
      <c r="B101">
        <v>4.0999999999999996</v>
      </c>
      <c r="C101" t="s">
        <v>7</v>
      </c>
      <c r="D101">
        <f t="shared" si="2"/>
        <v>2</v>
      </c>
      <c r="E101">
        <f t="shared" si="3"/>
        <v>4</v>
      </c>
    </row>
    <row r="102" spans="1:5" x14ac:dyDescent="0.25">
      <c r="A102">
        <v>3.3</v>
      </c>
      <c r="B102">
        <v>6</v>
      </c>
      <c r="C102" t="s">
        <v>8</v>
      </c>
      <c r="D102">
        <f t="shared" si="2"/>
        <v>3</v>
      </c>
      <c r="E102">
        <f t="shared" si="3"/>
        <v>5</v>
      </c>
    </row>
    <row r="103" spans="1:5" x14ac:dyDescent="0.25">
      <c r="A103">
        <v>2.7</v>
      </c>
      <c r="B103">
        <v>5.0999999999999996</v>
      </c>
      <c r="C103" t="s">
        <v>8</v>
      </c>
      <c r="D103">
        <f t="shared" si="2"/>
        <v>3</v>
      </c>
      <c r="E103">
        <f t="shared" si="3"/>
        <v>5</v>
      </c>
    </row>
    <row r="104" spans="1:5" x14ac:dyDescent="0.25">
      <c r="A104">
        <v>3</v>
      </c>
      <c r="B104">
        <v>5.9</v>
      </c>
      <c r="C104" t="s">
        <v>8</v>
      </c>
      <c r="D104">
        <f t="shared" si="2"/>
        <v>3</v>
      </c>
      <c r="E104">
        <f t="shared" si="3"/>
        <v>5</v>
      </c>
    </row>
    <row r="105" spans="1:5" x14ac:dyDescent="0.25">
      <c r="A105">
        <v>2.9</v>
      </c>
      <c r="B105">
        <v>5.6</v>
      </c>
      <c r="C105" t="s">
        <v>8</v>
      </c>
      <c r="D105">
        <f t="shared" si="2"/>
        <v>3</v>
      </c>
      <c r="E105">
        <f t="shared" si="3"/>
        <v>5</v>
      </c>
    </row>
    <row r="106" spans="1:5" x14ac:dyDescent="0.25">
      <c r="A106">
        <v>3</v>
      </c>
      <c r="B106">
        <v>5.8</v>
      </c>
      <c r="C106" t="s">
        <v>8</v>
      </c>
      <c r="D106">
        <f t="shared" si="2"/>
        <v>3</v>
      </c>
      <c r="E106">
        <f t="shared" si="3"/>
        <v>5</v>
      </c>
    </row>
    <row r="107" spans="1:5" x14ac:dyDescent="0.25">
      <c r="A107">
        <v>3</v>
      </c>
      <c r="B107">
        <v>6.6</v>
      </c>
      <c r="C107" t="s">
        <v>8</v>
      </c>
      <c r="D107">
        <f t="shared" si="2"/>
        <v>3</v>
      </c>
      <c r="E107">
        <f t="shared" si="3"/>
        <v>5</v>
      </c>
    </row>
    <row r="108" spans="1:5" x14ac:dyDescent="0.25">
      <c r="A108">
        <v>2.5</v>
      </c>
      <c r="B108">
        <v>4.5</v>
      </c>
      <c r="C108" t="s">
        <v>8</v>
      </c>
      <c r="D108">
        <f t="shared" si="2"/>
        <v>3</v>
      </c>
      <c r="E108">
        <f t="shared" si="3"/>
        <v>5</v>
      </c>
    </row>
    <row r="109" spans="1:5" x14ac:dyDescent="0.25">
      <c r="A109">
        <v>2.9</v>
      </c>
      <c r="B109">
        <v>6.3</v>
      </c>
      <c r="C109" t="s">
        <v>8</v>
      </c>
      <c r="D109">
        <f t="shared" si="2"/>
        <v>3</v>
      </c>
      <c r="E109">
        <f t="shared" si="3"/>
        <v>5</v>
      </c>
    </row>
    <row r="110" spans="1:5" x14ac:dyDescent="0.25">
      <c r="A110">
        <v>2.5</v>
      </c>
      <c r="B110">
        <v>5.8</v>
      </c>
      <c r="C110" t="s">
        <v>8</v>
      </c>
      <c r="D110">
        <f t="shared" si="2"/>
        <v>3</v>
      </c>
      <c r="E110">
        <f t="shared" si="3"/>
        <v>5</v>
      </c>
    </row>
    <row r="111" spans="1:5" x14ac:dyDescent="0.25">
      <c r="A111">
        <v>3.6</v>
      </c>
      <c r="B111">
        <v>6.1</v>
      </c>
      <c r="C111" t="s">
        <v>8</v>
      </c>
      <c r="D111">
        <f t="shared" si="2"/>
        <v>3</v>
      </c>
      <c r="E111">
        <f t="shared" si="3"/>
        <v>5</v>
      </c>
    </row>
    <row r="112" spans="1:5" x14ac:dyDescent="0.25">
      <c r="A112">
        <v>3.2</v>
      </c>
      <c r="B112">
        <v>5.0999999999999996</v>
      </c>
      <c r="C112" t="s">
        <v>8</v>
      </c>
      <c r="D112">
        <f t="shared" si="2"/>
        <v>3</v>
      </c>
      <c r="E112">
        <f t="shared" si="3"/>
        <v>5</v>
      </c>
    </row>
    <row r="113" spans="1:5" x14ac:dyDescent="0.25">
      <c r="A113">
        <v>2.7</v>
      </c>
      <c r="B113">
        <v>5.3</v>
      </c>
      <c r="C113" t="s">
        <v>8</v>
      </c>
      <c r="D113">
        <f t="shared" si="2"/>
        <v>3</v>
      </c>
      <c r="E113">
        <f t="shared" si="3"/>
        <v>5</v>
      </c>
    </row>
    <row r="114" spans="1:5" x14ac:dyDescent="0.25">
      <c r="A114">
        <v>3</v>
      </c>
      <c r="B114">
        <v>5.5</v>
      </c>
      <c r="C114" t="s">
        <v>8</v>
      </c>
      <c r="D114">
        <f t="shared" si="2"/>
        <v>3</v>
      </c>
      <c r="E114">
        <f t="shared" si="3"/>
        <v>5</v>
      </c>
    </row>
    <row r="115" spans="1:5" x14ac:dyDescent="0.25">
      <c r="A115">
        <v>2.5</v>
      </c>
      <c r="B115">
        <v>5</v>
      </c>
      <c r="C115" t="s">
        <v>8</v>
      </c>
      <c r="D115">
        <f t="shared" si="2"/>
        <v>3</v>
      </c>
      <c r="E115">
        <f t="shared" si="3"/>
        <v>5</v>
      </c>
    </row>
    <row r="116" spans="1:5" x14ac:dyDescent="0.25">
      <c r="A116">
        <v>2.8</v>
      </c>
      <c r="B116">
        <v>5.0999999999999996</v>
      </c>
      <c r="C116" t="s">
        <v>8</v>
      </c>
      <c r="D116">
        <f t="shared" si="2"/>
        <v>3</v>
      </c>
      <c r="E116">
        <f t="shared" si="3"/>
        <v>5</v>
      </c>
    </row>
    <row r="117" spans="1:5" x14ac:dyDescent="0.25">
      <c r="A117">
        <v>3.2</v>
      </c>
      <c r="B117">
        <v>5.3</v>
      </c>
      <c r="C117" t="s">
        <v>8</v>
      </c>
      <c r="D117">
        <f t="shared" si="2"/>
        <v>3</v>
      </c>
      <c r="E117">
        <f t="shared" si="3"/>
        <v>5</v>
      </c>
    </row>
    <row r="118" spans="1:5" x14ac:dyDescent="0.25">
      <c r="A118">
        <v>3</v>
      </c>
      <c r="B118">
        <v>5.5</v>
      </c>
      <c r="C118" t="s">
        <v>8</v>
      </c>
      <c r="D118">
        <f t="shared" si="2"/>
        <v>3</v>
      </c>
      <c r="E118">
        <f t="shared" si="3"/>
        <v>5</v>
      </c>
    </row>
    <row r="119" spans="1:5" x14ac:dyDescent="0.25">
      <c r="A119">
        <v>3.8</v>
      </c>
      <c r="B119">
        <v>6.7</v>
      </c>
      <c r="C119" t="s">
        <v>8</v>
      </c>
      <c r="D119">
        <f t="shared" si="2"/>
        <v>3</v>
      </c>
      <c r="E119">
        <f t="shared" si="3"/>
        <v>5</v>
      </c>
    </row>
    <row r="120" spans="1:5" x14ac:dyDescent="0.25">
      <c r="A120">
        <v>2.6</v>
      </c>
      <c r="B120">
        <v>6.9</v>
      </c>
      <c r="C120" t="s">
        <v>8</v>
      </c>
      <c r="D120">
        <f t="shared" si="2"/>
        <v>3</v>
      </c>
      <c r="E120">
        <f t="shared" si="3"/>
        <v>5</v>
      </c>
    </row>
    <row r="121" spans="1:5" x14ac:dyDescent="0.25">
      <c r="A121">
        <v>2.2000000000000002</v>
      </c>
      <c r="B121">
        <v>5</v>
      </c>
      <c r="C121" t="s">
        <v>8</v>
      </c>
      <c r="D121">
        <f t="shared" si="2"/>
        <v>3</v>
      </c>
      <c r="E121">
        <f t="shared" si="3"/>
        <v>5</v>
      </c>
    </row>
    <row r="122" spans="1:5" x14ac:dyDescent="0.25">
      <c r="A122">
        <v>3.2</v>
      </c>
      <c r="B122">
        <v>5.7</v>
      </c>
      <c r="C122" t="s">
        <v>8</v>
      </c>
      <c r="D122">
        <f t="shared" si="2"/>
        <v>3</v>
      </c>
      <c r="E122">
        <f t="shared" si="3"/>
        <v>5</v>
      </c>
    </row>
    <row r="123" spans="1:5" x14ac:dyDescent="0.25">
      <c r="A123">
        <v>2.8</v>
      </c>
      <c r="B123">
        <v>4.9000000000000004</v>
      </c>
      <c r="C123" t="s">
        <v>8</v>
      </c>
      <c r="D123">
        <f t="shared" si="2"/>
        <v>3</v>
      </c>
      <c r="E123">
        <f t="shared" si="3"/>
        <v>5</v>
      </c>
    </row>
    <row r="124" spans="1:5" x14ac:dyDescent="0.25">
      <c r="A124">
        <v>2.8</v>
      </c>
      <c r="B124">
        <v>6.7</v>
      </c>
      <c r="C124" t="s">
        <v>8</v>
      </c>
      <c r="D124">
        <f t="shared" si="2"/>
        <v>3</v>
      </c>
      <c r="E124">
        <f t="shared" si="3"/>
        <v>5</v>
      </c>
    </row>
    <row r="125" spans="1:5" x14ac:dyDescent="0.25">
      <c r="A125">
        <v>2.7</v>
      </c>
      <c r="B125">
        <v>4.9000000000000004</v>
      </c>
      <c r="C125" t="s">
        <v>8</v>
      </c>
      <c r="D125">
        <f t="shared" si="2"/>
        <v>3</v>
      </c>
      <c r="E125">
        <f t="shared" si="3"/>
        <v>5</v>
      </c>
    </row>
    <row r="126" spans="1:5" x14ac:dyDescent="0.25">
      <c r="A126">
        <v>3.3</v>
      </c>
      <c r="B126">
        <v>5.7</v>
      </c>
      <c r="C126" t="s">
        <v>8</v>
      </c>
      <c r="D126">
        <f t="shared" si="2"/>
        <v>3</v>
      </c>
      <c r="E126">
        <f t="shared" si="3"/>
        <v>5</v>
      </c>
    </row>
    <row r="127" spans="1:5" x14ac:dyDescent="0.25">
      <c r="A127">
        <v>3.2</v>
      </c>
      <c r="B127">
        <v>6</v>
      </c>
      <c r="C127" t="s">
        <v>8</v>
      </c>
      <c r="D127">
        <f t="shared" si="2"/>
        <v>3</v>
      </c>
      <c r="E127">
        <f t="shared" si="3"/>
        <v>5</v>
      </c>
    </row>
    <row r="128" spans="1:5" x14ac:dyDescent="0.25">
      <c r="A128">
        <v>2.8</v>
      </c>
      <c r="B128">
        <v>4.8</v>
      </c>
      <c r="C128" t="s">
        <v>8</v>
      </c>
      <c r="D128">
        <f t="shared" si="2"/>
        <v>3</v>
      </c>
      <c r="E128">
        <f t="shared" si="3"/>
        <v>5</v>
      </c>
    </row>
    <row r="129" spans="1:5" x14ac:dyDescent="0.25">
      <c r="A129">
        <v>3</v>
      </c>
      <c r="B129">
        <v>4.9000000000000004</v>
      </c>
      <c r="C129" t="s">
        <v>8</v>
      </c>
      <c r="D129">
        <f t="shared" si="2"/>
        <v>3</v>
      </c>
      <c r="E129">
        <f t="shared" si="3"/>
        <v>5</v>
      </c>
    </row>
    <row r="130" spans="1:5" x14ac:dyDescent="0.25">
      <c r="A130">
        <v>2.8</v>
      </c>
      <c r="B130">
        <v>5.6</v>
      </c>
      <c r="C130" t="s">
        <v>8</v>
      </c>
      <c r="D130">
        <f t="shared" si="2"/>
        <v>3</v>
      </c>
      <c r="E130">
        <f t="shared" si="3"/>
        <v>5</v>
      </c>
    </row>
    <row r="131" spans="1:5" x14ac:dyDescent="0.25">
      <c r="A131">
        <v>3</v>
      </c>
      <c r="B131">
        <v>5.8</v>
      </c>
      <c r="C131" t="s">
        <v>8</v>
      </c>
      <c r="D131">
        <f t="shared" ref="D131:D151" si="4">IF(C131="Iris-setosa",1,IF(C131="Iris-versicolor",2,3))</f>
        <v>3</v>
      </c>
      <c r="E131">
        <f t="shared" ref="E131:E151" si="5">IF(C131="Iris-setosa",3,IF(C131="Iris-versicolor",4,5))</f>
        <v>5</v>
      </c>
    </row>
    <row r="132" spans="1:5" x14ac:dyDescent="0.25">
      <c r="A132">
        <v>2.8</v>
      </c>
      <c r="B132">
        <v>6.1</v>
      </c>
      <c r="C132" t="s">
        <v>8</v>
      </c>
      <c r="D132">
        <f t="shared" si="4"/>
        <v>3</v>
      </c>
      <c r="E132">
        <f t="shared" si="5"/>
        <v>5</v>
      </c>
    </row>
    <row r="133" spans="1:5" x14ac:dyDescent="0.25">
      <c r="A133">
        <v>3.8</v>
      </c>
      <c r="B133">
        <v>6.4</v>
      </c>
      <c r="C133" t="s">
        <v>8</v>
      </c>
      <c r="D133">
        <f t="shared" si="4"/>
        <v>3</v>
      </c>
      <c r="E133">
        <f t="shared" si="5"/>
        <v>5</v>
      </c>
    </row>
    <row r="134" spans="1:5" x14ac:dyDescent="0.25">
      <c r="A134">
        <v>2.8</v>
      </c>
      <c r="B134">
        <v>5.6</v>
      </c>
      <c r="C134" t="s">
        <v>8</v>
      </c>
      <c r="D134">
        <f t="shared" si="4"/>
        <v>3</v>
      </c>
      <c r="E134">
        <f t="shared" si="5"/>
        <v>5</v>
      </c>
    </row>
    <row r="135" spans="1:5" x14ac:dyDescent="0.25">
      <c r="A135">
        <v>2.8</v>
      </c>
      <c r="B135">
        <v>5.0999999999999996</v>
      </c>
      <c r="C135" t="s">
        <v>8</v>
      </c>
      <c r="D135">
        <f t="shared" si="4"/>
        <v>3</v>
      </c>
      <c r="E135">
        <f t="shared" si="5"/>
        <v>5</v>
      </c>
    </row>
    <row r="136" spans="1:5" x14ac:dyDescent="0.25">
      <c r="A136">
        <v>2.6</v>
      </c>
      <c r="B136">
        <v>5.6</v>
      </c>
      <c r="C136" t="s">
        <v>8</v>
      </c>
      <c r="D136">
        <f t="shared" si="4"/>
        <v>3</v>
      </c>
      <c r="E136">
        <f t="shared" si="5"/>
        <v>5</v>
      </c>
    </row>
    <row r="137" spans="1:5" x14ac:dyDescent="0.25">
      <c r="A137">
        <v>3</v>
      </c>
      <c r="B137">
        <v>6.1</v>
      </c>
      <c r="C137" t="s">
        <v>8</v>
      </c>
      <c r="D137">
        <f t="shared" si="4"/>
        <v>3</v>
      </c>
      <c r="E137">
        <f t="shared" si="5"/>
        <v>5</v>
      </c>
    </row>
    <row r="138" spans="1:5" x14ac:dyDescent="0.25">
      <c r="A138">
        <v>3.4</v>
      </c>
      <c r="B138">
        <v>5.6</v>
      </c>
      <c r="C138" t="s">
        <v>8</v>
      </c>
      <c r="D138">
        <f t="shared" si="4"/>
        <v>3</v>
      </c>
      <c r="E138">
        <f t="shared" si="5"/>
        <v>5</v>
      </c>
    </row>
    <row r="139" spans="1:5" x14ac:dyDescent="0.25">
      <c r="A139">
        <v>3.1</v>
      </c>
      <c r="B139">
        <v>5.5</v>
      </c>
      <c r="C139" t="s">
        <v>8</v>
      </c>
      <c r="D139">
        <f t="shared" si="4"/>
        <v>3</v>
      </c>
      <c r="E139">
        <f t="shared" si="5"/>
        <v>5</v>
      </c>
    </row>
    <row r="140" spans="1:5" x14ac:dyDescent="0.25">
      <c r="A140">
        <v>3</v>
      </c>
      <c r="B140">
        <v>4.8</v>
      </c>
      <c r="C140" t="s">
        <v>8</v>
      </c>
      <c r="D140">
        <f t="shared" si="4"/>
        <v>3</v>
      </c>
      <c r="E140">
        <f t="shared" si="5"/>
        <v>5</v>
      </c>
    </row>
    <row r="141" spans="1:5" x14ac:dyDescent="0.25">
      <c r="A141">
        <v>3.1</v>
      </c>
      <c r="B141">
        <v>5.4</v>
      </c>
      <c r="C141" t="s">
        <v>8</v>
      </c>
      <c r="D141">
        <f t="shared" si="4"/>
        <v>3</v>
      </c>
      <c r="E141">
        <f t="shared" si="5"/>
        <v>5</v>
      </c>
    </row>
    <row r="142" spans="1:5" x14ac:dyDescent="0.25">
      <c r="A142">
        <v>3.1</v>
      </c>
      <c r="B142">
        <v>5.6</v>
      </c>
      <c r="C142" t="s">
        <v>8</v>
      </c>
      <c r="D142">
        <f t="shared" si="4"/>
        <v>3</v>
      </c>
      <c r="E142">
        <f t="shared" si="5"/>
        <v>5</v>
      </c>
    </row>
    <row r="143" spans="1:5" x14ac:dyDescent="0.25">
      <c r="A143">
        <v>3.1</v>
      </c>
      <c r="B143">
        <v>5.0999999999999996</v>
      </c>
      <c r="C143" t="s">
        <v>8</v>
      </c>
      <c r="D143">
        <f t="shared" si="4"/>
        <v>3</v>
      </c>
      <c r="E143">
        <f t="shared" si="5"/>
        <v>5</v>
      </c>
    </row>
    <row r="144" spans="1:5" x14ac:dyDescent="0.25">
      <c r="A144">
        <v>2.7</v>
      </c>
      <c r="B144">
        <v>5.0999999999999996</v>
      </c>
      <c r="C144" t="s">
        <v>8</v>
      </c>
      <c r="D144">
        <f t="shared" si="4"/>
        <v>3</v>
      </c>
      <c r="E144">
        <f t="shared" si="5"/>
        <v>5</v>
      </c>
    </row>
    <row r="145" spans="1:5" x14ac:dyDescent="0.25">
      <c r="A145">
        <v>3.2</v>
      </c>
      <c r="B145">
        <v>5.9</v>
      </c>
      <c r="C145" t="s">
        <v>8</v>
      </c>
      <c r="D145">
        <f t="shared" si="4"/>
        <v>3</v>
      </c>
      <c r="E145">
        <f t="shared" si="5"/>
        <v>5</v>
      </c>
    </row>
    <row r="146" spans="1:5" x14ac:dyDescent="0.25">
      <c r="A146">
        <v>3.3</v>
      </c>
      <c r="B146">
        <v>5.7</v>
      </c>
      <c r="C146" t="s">
        <v>8</v>
      </c>
      <c r="D146">
        <f t="shared" si="4"/>
        <v>3</v>
      </c>
      <c r="E146">
        <f t="shared" si="5"/>
        <v>5</v>
      </c>
    </row>
    <row r="147" spans="1:5" x14ac:dyDescent="0.25">
      <c r="A147">
        <v>3</v>
      </c>
      <c r="B147">
        <v>5.2</v>
      </c>
      <c r="C147" t="s">
        <v>8</v>
      </c>
      <c r="D147">
        <f t="shared" si="4"/>
        <v>3</v>
      </c>
      <c r="E147">
        <f t="shared" si="5"/>
        <v>5</v>
      </c>
    </row>
    <row r="148" spans="1:5" x14ac:dyDescent="0.25">
      <c r="A148">
        <v>2.5</v>
      </c>
      <c r="B148">
        <v>5</v>
      </c>
      <c r="C148" t="s">
        <v>8</v>
      </c>
      <c r="D148">
        <f t="shared" si="4"/>
        <v>3</v>
      </c>
      <c r="E148">
        <f t="shared" si="5"/>
        <v>5</v>
      </c>
    </row>
    <row r="149" spans="1:5" x14ac:dyDescent="0.25">
      <c r="A149">
        <v>3</v>
      </c>
      <c r="B149">
        <v>5.2</v>
      </c>
      <c r="C149" t="s">
        <v>8</v>
      </c>
      <c r="D149">
        <f t="shared" si="4"/>
        <v>3</v>
      </c>
      <c r="E149">
        <f t="shared" si="5"/>
        <v>5</v>
      </c>
    </row>
    <row r="150" spans="1:5" x14ac:dyDescent="0.25">
      <c r="A150">
        <v>3.4</v>
      </c>
      <c r="B150">
        <v>5.4</v>
      </c>
      <c r="C150" t="s">
        <v>8</v>
      </c>
      <c r="D150">
        <f t="shared" si="4"/>
        <v>3</v>
      </c>
      <c r="E150">
        <f t="shared" si="5"/>
        <v>5</v>
      </c>
    </row>
    <row r="151" spans="1:5" x14ac:dyDescent="0.25">
      <c r="A151">
        <v>3</v>
      </c>
      <c r="B151">
        <v>5.0999999999999996</v>
      </c>
      <c r="C151" t="s">
        <v>8</v>
      </c>
      <c r="D151">
        <f t="shared" si="4"/>
        <v>3</v>
      </c>
      <c r="E151">
        <f t="shared" si="5"/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pivot_petal</vt:lpstr>
      <vt:lpstr>abu_abu_cluster</vt:lpstr>
      <vt:lpstr>pivot_sepal</vt:lpstr>
      <vt:lpstr>IRIS2</vt:lpstr>
      <vt:lpstr>setosa_petal</vt:lpstr>
      <vt:lpstr>versicolor_petal</vt:lpstr>
      <vt:lpstr>virginica_petal</vt:lpstr>
      <vt:lpstr>plot_petal</vt:lpstr>
      <vt:lpstr>plot_sepal</vt:lpstr>
      <vt:lpstr>plot_length</vt:lpstr>
      <vt:lpstr>plot_width</vt:lpstr>
      <vt:lpstr>cross_plot1</vt:lpstr>
      <vt:lpstr>cross_plot2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fristiana</dc:creator>
  <cp:lastModifiedBy>fristiana</cp:lastModifiedBy>
  <dcterms:created xsi:type="dcterms:W3CDTF">2018-10-27T08:20:41Z</dcterms:created>
  <dcterms:modified xsi:type="dcterms:W3CDTF">2018-10-27T13:54:57Z</dcterms:modified>
</cp:coreProperties>
</file>